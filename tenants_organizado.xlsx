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Clientes" sheetId="2" state="visible" r:id="rId4"/>
    <sheet name="AccesosRemotos" sheetId="3" state="visible" r:id="rId5"/>
    <sheet name="APIs_Timbrado" sheetId="4" state="visible" r:id="rId6"/>
    <sheet name="APIs_FacturaLO" sheetId="5" state="visible" r:id="rId7"/>
    <sheet name="UsuariosSistema" sheetId="6" state="visible" r:id="rId8"/>
    <sheet name="Infraestructura" sheetId="7" state="visible" r:id="rId9"/>
    <sheet name="Vista_Resume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Asistente</author>
  </authors>
  <commentList>
    <comment ref="B3" authorId="0">
      <text>
        <r>
          <rPr>
            <sz val="10"/>
            <rFont val="Arial"/>
            <family val="2"/>
          </rPr>
          <t xml:space="preserve">Cambia el ClienteID y todo se actualiza.</t>
        </r>
      </text>
    </comment>
  </commentList>
</comments>
</file>

<file path=xl/sharedStrings.xml><?xml version="1.0" encoding="utf-8"?>
<sst xmlns="http://schemas.openxmlformats.org/spreadsheetml/2006/main" count="1658" uniqueCount="677">
  <si>
    <t xml:space="preserve">Catálogo de Tenants — Vigma Consultores</t>
  </si>
  <si>
    <t xml:space="preserve">Propósito</t>
  </si>
  <si>
    <t xml:space="preserve">Centralizar la información de cada cliente (tenant) sin duplicar datos. Cada cliente tiene un único ClienteID que enlaza todas las hojas.</t>
  </si>
  <si>
    <t xml:space="preserve">Hojas</t>
  </si>
  <si>
    <t xml:space="preserve">1) Clientes — datos generales
2) AccesosRemotos — AnyDesk/RustDesk por equipo
3) APIs_Timbrado — API Keys del Vigma Timbrado Gateway
4) APIs_FacturaLO — credenciales por cliente + cuenta maestra
5) UsuariosSistema — usuarios y contraseñas (ARC)
6) Infraestructura — VPS, RustDesk Server y otros datos técnicos
7) Vista_Resumen — consulta consolidada por ClienteID</t>
  </si>
  <si>
    <t xml:space="preserve">Reglas</t>
  </si>
  <si>
    <t xml:space="preserve">• Nunca repitas el nombre del cliente: usa el ClienteID.
• Marca Estatus con la lista desplegable.
• 'UltimaActualizacion' sirve de auditoría.
• Protege el archivo con contraseña al cerrar (Archivo → Información → Proteger libro).</t>
  </si>
  <si>
    <t xml:space="preserve">Migración</t>
  </si>
  <si>
    <t xml:space="preserve">Datos migrados desde tu Tenants.xlsx original el 2026-05-03. Algunos campos (RFC, CP) podrían faltar; revísalos en la hoja Clientes.</t>
  </si>
  <si>
    <t xml:space="preserve">Tip</t>
  </si>
  <si>
    <t xml:space="preserve">Usa Ctrl+Shift+L para activar/desactivar filtros. Vista_Resumen tiene una lista desplegable arriba para cambiar de cliente.</t>
  </si>
  <si>
    <t xml:space="preserve">Catálogo de Clientes</t>
  </si>
  <si>
    <t xml:space="preserve">ClienteID</t>
  </si>
  <si>
    <t xml:space="preserve">NombreCorto</t>
  </si>
  <si>
    <t xml:space="preserve">RazonSocial</t>
  </si>
  <si>
    <t xml:space="preserve">RFC</t>
  </si>
  <si>
    <t xml:space="preserve">Contacto</t>
  </si>
  <si>
    <t xml:space="preserve">Telefono</t>
  </si>
  <si>
    <t xml:space="preserve">Correo</t>
  </si>
  <si>
    <t xml:space="preserve">Direccion</t>
  </si>
  <si>
    <t xml:space="preserve">CP</t>
  </si>
  <si>
    <t xml:space="preserve">Estado</t>
  </si>
  <si>
    <t xml:space="preserve">Estatus</t>
  </si>
  <si>
    <t xml:space="preserve">UltimaActualizacion</t>
  </si>
  <si>
    <t xml:space="preserve">Notas</t>
  </si>
  <si>
    <t xml:space="preserve">T001</t>
  </si>
  <si>
    <t xml:space="preserve">ACAXOCHITLAN</t>
  </si>
  <si>
    <t xml:space="preserve">MUNICIPIO DE ACAXOCHILTAN</t>
  </si>
  <si>
    <t xml:space="preserve">MAC8501016I4</t>
  </si>
  <si>
    <t xml:space="preserve">DIRECTOR DEL AGUA</t>
  </si>
  <si>
    <t xml:space="preserve">776 752 0090</t>
  </si>
  <si>
    <t xml:space="preserve">acaxochitlan246@gmail.com</t>
  </si>
  <si>
    <t xml:space="preserve">Palacio Municipal s/n, Col. Centro, Acaxochitlan</t>
  </si>
  <si>
    <t xml:space="preserve">Hidalgo</t>
  </si>
  <si>
    <t xml:space="preserve">Activo</t>
  </si>
  <si>
    <t xml:space="preserve">2026-05-03</t>
  </si>
  <si>
    <t xml:space="preserve">T002</t>
  </si>
  <si>
    <t xml:space="preserve">ACTOPAN AGUA</t>
  </si>
  <si>
    <t xml:space="preserve">Comisión de Agua y alcantarillado de Actopán, Hidalgo</t>
  </si>
  <si>
    <t xml:space="preserve">CAA930101333</t>
  </si>
  <si>
    <t xml:space="preserve">Gris CAASA</t>
  </si>
  <si>
    <t xml:space="preserve">7721016818</t>
  </si>
  <si>
    <t xml:space="preserve">comaguactopan@yahoo.com.mx</t>
  </si>
  <si>
    <t xml:space="preserve">T003</t>
  </si>
  <si>
    <t xml:space="preserve">ACTOPAN PRESIDENCIA</t>
  </si>
  <si>
    <t xml:space="preserve">MUNICIPIO DE ACTOPAN</t>
  </si>
  <si>
    <t xml:space="preserve">MAC850101992</t>
  </si>
  <si>
    <t xml:space="preserve">Contralora</t>
  </si>
  <si>
    <t xml:space="preserve">gabriela.garcia@vigmaconsulttores.com</t>
  </si>
  <si>
    <t xml:space="preserve">42500</t>
  </si>
  <si>
    <t xml:space="preserve">T004</t>
  </si>
  <si>
    <t xml:space="preserve">AJACUBA</t>
  </si>
  <si>
    <t xml:space="preserve">COMISION DE AGUA Y SANEAMIENTO DEL MUNICIPIO DE AJACUBA HGO</t>
  </si>
  <si>
    <t xml:space="preserve">CAS141230736</t>
  </si>
  <si>
    <t xml:space="preserve">CAYSA</t>
  </si>
  <si>
    <t xml:space="preserve">773379886</t>
  </si>
  <si>
    <t xml:space="preserve">caysa_ajacuba@yahoo.com.mx</t>
  </si>
  <si>
    <t xml:space="preserve">T005</t>
  </si>
  <si>
    <t xml:space="preserve">ARC</t>
  </si>
  <si>
    <t xml:space="preserve">INDUSTRIAS ARC</t>
  </si>
  <si>
    <t xml:space="preserve">IAR9009251R9</t>
  </si>
  <si>
    <t xml:space="preserve">Adellano</t>
  </si>
  <si>
    <t xml:space="preserve">55 2724 7260</t>
  </si>
  <si>
    <t xml:space="preserve">adellano@industriasarc.com.mx</t>
  </si>
  <si>
    <t xml:space="preserve">Cerrada Alfredo del Mazo No. 5, El Pedregal de Atizapán, Atizapán de Zaragoza</t>
  </si>
  <si>
    <t xml:space="preserve">52948</t>
  </si>
  <si>
    <t xml:space="preserve">Edo. México</t>
  </si>
  <si>
    <t xml:space="preserve">Accesos por usuario en hoja AccesosArc</t>
  </si>
  <si>
    <t xml:space="preserve">T006</t>
  </si>
  <si>
    <t xml:space="preserve">ARENAL</t>
  </si>
  <si>
    <t xml:space="preserve">COMISION DE AGUA POTABLE, ALCANTARILLADO Y SANEAMIENTO DEL MUNICIPIO DE EL ARENAL, HIDALGO, SISTEMA BOCJA - CHIMILPA</t>
  </si>
  <si>
    <t xml:space="preserve">CAP230608N2A</t>
  </si>
  <si>
    <t xml:space="preserve">Agua Arenal</t>
  </si>
  <si>
    <t xml:space="preserve">sistemaoperadorbocjachimilpa@gmail.com</t>
  </si>
  <si>
    <t xml:space="preserve">Antigua Vía del Ferrocarril s/n, El Bocja</t>
  </si>
  <si>
    <t xml:space="preserve">42683</t>
  </si>
  <si>
    <t xml:space="preserve">T007</t>
  </si>
  <si>
    <t xml:space="preserve">CLASS LABELS</t>
  </si>
  <si>
    <t xml:space="preserve">CLASS LABELS S. DE R.L. DE C.V.</t>
  </si>
  <si>
    <t xml:space="preserve">CLA1504201Z8</t>
  </si>
  <si>
    <t xml:space="preserve">Class Labels</t>
  </si>
  <si>
    <t xml:space="preserve">5526204200</t>
  </si>
  <si>
    <t xml:space="preserve">distribuidores@class-labels.com</t>
  </si>
  <si>
    <t xml:space="preserve">Independencia, Tultitlán de Mariano Escobedo</t>
  </si>
  <si>
    <t xml:space="preserve">54915</t>
  </si>
  <si>
    <t xml:space="preserve">T008</t>
  </si>
  <si>
    <t xml:space="preserve">CUAUTEPEC AGUA</t>
  </si>
  <si>
    <t xml:space="preserve">COMISION DE AGUA POTABLE, ALCANTARILLADO Y SANEAMIENTO DE CUAUTEPEC DE HINOJOSA HIDALGO</t>
  </si>
  <si>
    <t xml:space="preserve">CAP020708TX0</t>
  </si>
  <si>
    <t xml:space="preserve">Yocelin Olivares</t>
  </si>
  <si>
    <t xml:space="preserve">7757703600</t>
  </si>
  <si>
    <t xml:space="preserve">aguapotbalecuautepec16@gmail.com</t>
  </si>
  <si>
    <t xml:space="preserve">Corregidora Sur 103, Plaza El Sol. Col. Centro, Cuautepec de Hinojosa</t>
  </si>
  <si>
    <t xml:space="preserve">43740</t>
  </si>
  <si>
    <t xml:space="preserve">T009</t>
  </si>
  <si>
    <t xml:space="preserve">CUAUTEPEC ASERRADERO</t>
  </si>
  <si>
    <t xml:space="preserve">ORGANISMO OPERADOR DE AGUA POTABLE DEL ASERRADERO</t>
  </si>
  <si>
    <t xml:space="preserve">OOA211201TP6</t>
  </si>
  <si>
    <t xml:space="preserve">Lic. Rubí Álvarez</t>
  </si>
  <si>
    <t xml:space="preserve">aguapro61@gmail.com</t>
  </si>
  <si>
    <t xml:space="preserve">T010</t>
  </si>
  <si>
    <t xml:space="preserve">CUAUTEPEC PRESIDENCIA</t>
  </si>
  <si>
    <t xml:space="preserve">MUNICIPIO DE CUAUTEPEC DE HINOJOSA</t>
  </si>
  <si>
    <t xml:space="preserve">MCH850101BW8</t>
  </si>
  <si>
    <t xml:space="preserve">Juan Carlos Ortiz Galindo</t>
  </si>
  <si>
    <t xml:space="preserve">7540125</t>
  </si>
  <si>
    <t xml:space="preserve">elopinga_60@hotmail.com</t>
  </si>
  <si>
    <t xml:space="preserve">Predial / Presidencia</t>
  </si>
  <si>
    <t xml:space="preserve">T011</t>
  </si>
  <si>
    <t xml:space="preserve">GARIN ETIQUETAS</t>
  </si>
  <si>
    <t xml:space="preserve">GET130827SN7</t>
  </si>
  <si>
    <t xml:space="preserve">Alejandro de Paz</t>
  </si>
  <si>
    <t xml:space="preserve">5566105972</t>
  </si>
  <si>
    <t xml:space="preserve">alejandro@garinetiquetas.com</t>
  </si>
  <si>
    <t xml:space="preserve">Tezozomoc No. 9, Recursos Hidráulicos, Tultitlán de Mariano Escobedo</t>
  </si>
  <si>
    <t xml:space="preserve">54913</t>
  </si>
  <si>
    <t xml:space="preserve">T012</t>
  </si>
  <si>
    <t xml:space="preserve">HSD RFID</t>
  </si>
  <si>
    <t xml:space="preserve">HSD RFID CONVERTING</t>
  </si>
  <si>
    <t xml:space="preserve">HRC240521NC9</t>
  </si>
  <si>
    <t xml:space="preserve">María Castro</t>
  </si>
  <si>
    <t xml:space="preserve">3318114545</t>
  </si>
  <si>
    <t xml:space="preserve">mariacastro.paxetiquetas@gmail.com</t>
  </si>
  <si>
    <t xml:space="preserve">Mz 2 Lt 35, 5 de Septiembre, Ecatepec de Morelos</t>
  </si>
  <si>
    <t xml:space="preserve">55330</t>
  </si>
  <si>
    <t xml:space="preserve">T013</t>
  </si>
  <si>
    <t xml:space="preserve">HUASCA</t>
  </si>
  <si>
    <t xml:space="preserve">COMISION DE AGUA DEL MUNICIPIO DE HUASCA DE OCAMPO HIDALGO</t>
  </si>
  <si>
    <t xml:space="preserve">CAM0602147WA</t>
  </si>
  <si>
    <t xml:space="preserve">Jazmín Teresa Ramírez Cortés</t>
  </si>
  <si>
    <t xml:space="preserve">7717920101</t>
  </si>
  <si>
    <t xml:space="preserve">coamh@hotmail.com</t>
  </si>
  <si>
    <t xml:space="preserve">Conocido s/n, Col. Centro, Huasca de Ocampo</t>
  </si>
  <si>
    <t xml:space="preserve">43500</t>
  </si>
  <si>
    <t xml:space="preserve">T014</t>
  </si>
  <si>
    <t xml:space="preserve">HUEJUTLA</t>
  </si>
  <si>
    <t xml:space="preserve">COMISION DE AGUA POTABLE, ALCANTARILLADO Y SANEAMIENTO DE HUEJUTLA DE REYES, HGO</t>
  </si>
  <si>
    <t xml:space="preserve">CAA0207082R3</t>
  </si>
  <si>
    <t xml:space="preserve">Zaida</t>
  </si>
  <si>
    <t xml:space="preserve">01(789) 896-56-21</t>
  </si>
  <si>
    <t xml:space="preserve">CAPASHH@hotmail.com</t>
  </si>
  <si>
    <t xml:space="preserve">Nicandro Castillo No. 25 Col. Centro, Huejutla de Reyes</t>
  </si>
  <si>
    <t xml:space="preserve">43000</t>
  </si>
  <si>
    <t xml:space="preserve">T015</t>
  </si>
  <si>
    <t xml:space="preserve">MIXQUIAHUALA</t>
  </si>
  <si>
    <t xml:space="preserve">COMISION DE AGUA POTABLE Y ALCANTARILLADO DEL MUNICIPIO DE MIXQUIAHUALA DE JUAREZ HIDALGO</t>
  </si>
  <si>
    <t xml:space="preserve">CAP040210K23</t>
  </si>
  <si>
    <t xml:space="preserve">CP Roque</t>
  </si>
  <si>
    <t xml:space="preserve">7387350574</t>
  </si>
  <si>
    <t xml:space="preserve">caamm_0402@hotmail.com</t>
  </si>
  <si>
    <t xml:space="preserve">T016</t>
  </si>
  <si>
    <t xml:space="preserve">MULEGE (BC)</t>
  </si>
  <si>
    <t xml:space="preserve">ORGANISMO OPERADOR MUNICIPAL DEL SISTEMA DE AGUA POTABLE, ALCANTARILLADO Y SANEAMIENTO DE MULEGE</t>
  </si>
  <si>
    <t xml:space="preserve">OOM120125722</t>
  </si>
  <si>
    <t xml:space="preserve">Brenda</t>
  </si>
  <si>
    <t xml:space="preserve">7751269140</t>
  </si>
  <si>
    <t xml:space="preserve">gabgv@msn.com</t>
  </si>
  <si>
    <t xml:space="preserve">Mulegé, Baja California Sur</t>
  </si>
  <si>
    <t xml:space="preserve">Baja California Sur</t>
  </si>
  <si>
    <t xml:space="preserve">Cuenta varias localidades: Sta. Rosalía, Bahía Tortuga, Vizcaíno, Asunción, Abreojos, Guerrero Negro, San Ignacio, La Bocana</t>
  </si>
  <si>
    <t xml:space="preserve">T017</t>
  </si>
  <si>
    <t xml:space="preserve">PROGRESO</t>
  </si>
  <si>
    <t xml:space="preserve">COMISION DE AGUA POTABLE, ALCANTARILLADO Y SANEAMIENTO DEL MUNICIPIO DE PROGRESO DE ALVARO OBREGON, HIDALGO</t>
  </si>
  <si>
    <t xml:space="preserve">CAA981221KEA</t>
  </si>
  <si>
    <t xml:space="preserve">Carmen Escamilla</t>
  </si>
  <si>
    <t xml:space="preserve">7387250950</t>
  </si>
  <si>
    <t xml:space="preserve">caampao_new_22@hotmail.com</t>
  </si>
  <si>
    <t xml:space="preserve">T018</t>
  </si>
  <si>
    <t xml:space="preserve">TECOZAUTLA</t>
  </si>
  <si>
    <t xml:space="preserve">COMISION DE AGUA POTABLE,ALCANTARILLADO Y SANEAMIENTO DEL MUNICIPIO DE TECOZAUTLA</t>
  </si>
  <si>
    <t xml:space="preserve">CAP090310T24</t>
  </si>
  <si>
    <t xml:space="preserve">Lic. Carolina</t>
  </si>
  <si>
    <t xml:space="preserve">gabriela.garcia.velazco@gmail.com</t>
  </si>
  <si>
    <t xml:space="preserve">T019</t>
  </si>
  <si>
    <t xml:space="preserve">TEZONTEPEC</t>
  </si>
  <si>
    <t xml:space="preserve">COMISION DE AGUA Y ALCANTARILLADO DE TEZONTEPEC DE ALDAMA, HIDALGO</t>
  </si>
  <si>
    <t xml:space="preserve">CAA020223SN5</t>
  </si>
  <si>
    <t xml:space="preserve">CAYATAH</t>
  </si>
  <si>
    <t xml:space="preserve">cayatah_2012@yahoo.com</t>
  </si>
  <si>
    <t xml:space="preserve">T020</t>
  </si>
  <si>
    <t xml:space="preserve">VIGMA CONSULTORES</t>
  </si>
  <si>
    <t xml:space="preserve">VIGMA CONSULTORES SAS DE CV</t>
  </si>
  <si>
    <t xml:space="preserve">VCO1707276L0</t>
  </si>
  <si>
    <t xml:space="preserve">Israel Villar Medina</t>
  </si>
  <si>
    <t xml:space="preserve">7757546170</t>
  </si>
  <si>
    <t xml:space="preserve">vigmac@prodigy.net.mx</t>
  </si>
  <si>
    <t xml:space="preserve">Pedro García Rangel 184, Col. Lázaro Cárdenas, Santiago Tulantepec</t>
  </si>
  <si>
    <t xml:space="preserve">43760</t>
  </si>
  <si>
    <t xml:space="preserve">Cuenta propia</t>
  </si>
  <si>
    <t xml:space="preserve">T021</t>
  </si>
  <si>
    <t xml:space="preserve">ZURICH ETIQUETAS</t>
  </si>
  <si>
    <t xml:space="preserve">ZURICH VILLAR GARCIA</t>
  </si>
  <si>
    <t xml:space="preserve">VIGZ980520ME5</t>
  </si>
  <si>
    <t xml:space="preserve">Zurich Villar García</t>
  </si>
  <si>
    <t xml:space="preserve">7751522351</t>
  </si>
  <si>
    <t xml:space="preserve">zurich.villar@etiquetasdigitales.com</t>
  </si>
  <si>
    <t xml:space="preserve">Pedro García Rangel 213, Col. Lázaro Cárdenas, Santiago Tulantepec</t>
  </si>
  <si>
    <t xml:space="preserve">T022</t>
  </si>
  <si>
    <t xml:space="preserve">ABAK</t>
  </si>
  <si>
    <t xml:space="preserve">ABAK (cliente)</t>
  </si>
  <si>
    <t xml:space="preserve">Servidor en Tecnoweb (server164.tecnoweb.net)</t>
  </si>
  <si>
    <t xml:space="preserve">T023</t>
  </si>
  <si>
    <t xml:space="preserve">SINDICATO CUAUTEPEC</t>
  </si>
  <si>
    <t xml:space="preserve">SINDICATO ÚNICO DE TRABAJADORES CUAUTEPEC</t>
  </si>
  <si>
    <t xml:space="preserve">Plesk en 65.99.205.97</t>
  </si>
  <si>
    <t xml:space="preserve">Accesos Remotos por Cliente</t>
  </si>
  <si>
    <t xml:space="preserve">Cliente</t>
  </si>
  <si>
    <t xml:space="preserve">Tipo</t>
  </si>
  <si>
    <t xml:space="preserve">Area</t>
  </si>
  <si>
    <t xml:space="preserve">Equipo / Alias</t>
  </si>
  <si>
    <t xml:space="preserve">ID</t>
  </si>
  <si>
    <t xml:space="preserve">Password</t>
  </si>
  <si>
    <t xml:space="preserve">AnyDesk</t>
  </si>
  <si>
    <t xml:space="preserve">SERVER</t>
  </si>
  <si>
    <t xml:space="preserve">1 174 989 621</t>
  </si>
  <si>
    <t xml:space="preserve">MySQL: Gabriela2018</t>
  </si>
  <si>
    <t xml:space="preserve">RustDesk</t>
  </si>
  <si>
    <t xml:space="preserve">22 464 940</t>
  </si>
  <si>
    <t xml:space="preserve">CAJAS</t>
  </si>
  <si>
    <t xml:space="preserve">SERVIDOR COMUNIDADES</t>
  </si>
  <si>
    <t xml:space="preserve">1835791957</t>
  </si>
  <si>
    <t xml:space="preserve">54 631 371</t>
  </si>
  <si>
    <t xml:space="preserve">CAJA FIJA (TECOMATLAN)</t>
  </si>
  <si>
    <t xml:space="preserve">1 616 631 904</t>
  </si>
  <si>
    <t xml:space="preserve">22 455 870</t>
  </si>
  <si>
    <t xml:space="preserve">CAJA FIJA (SANTIAGO)</t>
  </si>
  <si>
    <t xml:space="preserve">1175112487</t>
  </si>
  <si>
    <t xml:space="preserve">22 471 019</t>
  </si>
  <si>
    <t xml:space="preserve">Comercial</t>
  </si>
  <si>
    <t xml:space="preserve">JOSELINE</t>
  </si>
  <si>
    <t xml:space="preserve">1 805 331 651</t>
  </si>
  <si>
    <t xml:space="preserve">252 153 309</t>
  </si>
  <si>
    <t xml:space="preserve">AREA COMERCIAL(NELLY)</t>
  </si>
  <si>
    <t xml:space="preserve">1703322057</t>
  </si>
  <si>
    <t xml:space="preserve">251 783 645</t>
  </si>
  <si>
    <t xml:space="preserve">DIRECTOR</t>
  </si>
  <si>
    <t xml:space="preserve">36 246 498</t>
  </si>
  <si>
    <t xml:space="preserve">LAPTOP - CAJA MOVIL</t>
  </si>
  <si>
    <t xml:space="preserve">1 835 791 957</t>
  </si>
  <si>
    <t xml:space="preserve">MySQL: Gabriela@2018</t>
  </si>
  <si>
    <t xml:space="preserve">SERVER AGUA</t>
  </si>
  <si>
    <t xml:space="preserve">376585207</t>
  </si>
  <si>
    <t xml:space="preserve">NIP: 15062021 (Windows)</t>
  </si>
  <si>
    <t xml:space="preserve">81 643 988</t>
  </si>
  <si>
    <t xml:space="preserve">COMERCIAL|</t>
  </si>
  <si>
    <t xml:space="preserve">1319977587</t>
  </si>
  <si>
    <t xml:space="preserve">505 137 172</t>
  </si>
  <si>
    <t xml:space="preserve">SANDRA</t>
  </si>
  <si>
    <t xml:space="preserve">1182857572</t>
  </si>
  <si>
    <t xml:space="preserve">caduca cert. 11 nov- 2025 | SUSPENDIDA</t>
  </si>
  <si>
    <t xml:space="preserve">514 480 131</t>
  </si>
  <si>
    <t xml:space="preserve">SANDRA NUEVA COMPU</t>
  </si>
  <si>
    <t xml:space="preserve">1 523 374 180</t>
  </si>
  <si>
    <t xml:space="preserve">157 106 719</t>
  </si>
  <si>
    <t xml:space="preserve">VALERIA</t>
  </si>
  <si>
    <t xml:space="preserve">1170994117</t>
  </si>
  <si>
    <t xml:space="preserve">actu</t>
  </si>
  <si>
    <t xml:space="preserve">3 296 040</t>
  </si>
  <si>
    <t xml:space="preserve">Aministrativo Eduardo</t>
  </si>
  <si>
    <t xml:space="preserve">1 329 737 810</t>
  </si>
  <si>
    <t xml:space="preserve">62 582 087</t>
  </si>
  <si>
    <t xml:space="preserve">COBRO</t>
  </si>
  <si>
    <t xml:space="preserve">CAJA 3 HARIF</t>
  </si>
  <si>
    <t xml:space="preserve">613 682 799</t>
  </si>
  <si>
    <t xml:space="preserve">SUSPENDIDA</t>
  </si>
  <si>
    <t xml:space="preserve">320 099 641</t>
  </si>
  <si>
    <t xml:space="preserve">CAJA 3 JARE</t>
  </si>
  <si>
    <t xml:space="preserve">1788547954</t>
  </si>
  <si>
    <t xml:space="preserve">157 106 890</t>
  </si>
  <si>
    <t xml:space="preserve">CAJA 2 HARIF</t>
  </si>
  <si>
    <t xml:space="preserve">1 060 400 026</t>
  </si>
  <si>
    <t xml:space="preserve">3 296 079</t>
  </si>
  <si>
    <t xml:space="preserve">CAJA 1- (NUEVA)</t>
  </si>
  <si>
    <t xml:space="preserve">1927895025</t>
  </si>
  <si>
    <t xml:space="preserve">157 103 707</t>
  </si>
  <si>
    <t xml:space="preserve">Otro / Nota</t>
  </si>
  <si>
    <t xml:space="preserve">actua</t>
  </si>
  <si>
    <t xml:space="preserve">CAJA - Móvil</t>
  </si>
  <si>
    <t xml:space="preserve">1771652910</t>
  </si>
  <si>
    <t xml:space="preserve">298 040 328</t>
  </si>
  <si>
    <t xml:space="preserve">SUBDI</t>
  </si>
  <si>
    <t xml:space="preserve">SUBDIRECCIÓN COMERCIAL Raúl</t>
  </si>
  <si>
    <t xml:space="preserve">319 939 314</t>
  </si>
  <si>
    <t xml:space="preserve">FINANZAS</t>
  </si>
  <si>
    <t xml:space="preserve">Compu Finanzas 1</t>
  </si>
  <si>
    <t xml:space="preserve">18 629 830</t>
  </si>
  <si>
    <t xml:space="preserve">Compu Finanzas 2</t>
  </si>
  <si>
    <t xml:space="preserve">18 423 960</t>
  </si>
  <si>
    <t xml:space="preserve">CAJA PRINCIPAL TESORERIA PRESIDENCIA</t>
  </si>
  <si>
    <t xml:space="preserve">1 816 722 845</t>
  </si>
  <si>
    <t xml:space="preserve">Data Source=SQL8001.site4now.net;Initial Catalog=db_a8c8a1_siaagg;User Id=db_a8c8a1_siaagg_admin;Password=Gabriela@2018</t>
  </si>
  <si>
    <t xml:space="preserve">431 393 095</t>
  </si>
  <si>
    <t xml:space="preserve">CAJA DIF</t>
  </si>
  <si>
    <t xml:space="preserve">194352945</t>
  </si>
  <si>
    <t xml:space="preserve">Planeación y desarrollo urbano y movilidad</t>
  </si>
  <si>
    <t xml:space="preserve">534 174 808</t>
  </si>
  <si>
    <t xml:space="preserve">ykncqu</t>
  </si>
  <si>
    <t xml:space="preserve">1888821218</t>
  </si>
  <si>
    <t xml:space="preserve">185 796 084</t>
  </si>
  <si>
    <t xml:space="preserve">1655092066</t>
  </si>
  <si>
    <t xml:space="preserve">Mysql:root,Gabriela@2025</t>
  </si>
  <si>
    <t xml:space="preserve">235 763 447</t>
  </si>
  <si>
    <t xml:space="preserve">1715546066</t>
  </si>
  <si>
    <t xml:space="preserve">SERVER Aqua Core</t>
  </si>
  <si>
    <t xml:space="preserve">472938567</t>
  </si>
  <si>
    <t xml:space="preserve">1 346 104 938</t>
  </si>
  <si>
    <t xml:space="preserve">CAJA 1 (SERIE A)</t>
  </si>
  <si>
    <t xml:space="preserve">122910652</t>
  </si>
  <si>
    <t xml:space="preserve">200 196 696</t>
  </si>
  <si>
    <t xml:space="preserve">636549443</t>
  </si>
  <si>
    <t xml:space="preserve">331 894 072</t>
  </si>
  <si>
    <t xml:space="preserve">CAJA 2 (SERIE B) BRIZIA</t>
  </si>
  <si>
    <t xml:space="preserve">849551942</t>
  </si>
  <si>
    <t xml:space="preserve">202028194</t>
  </si>
  <si>
    <t xml:space="preserve">143830765</t>
  </si>
  <si>
    <t xml:space="preserve">89.0 | MySQL: Gabriela@2018 | Windows: CAAMTH2020</t>
  </si>
  <si>
    <t xml:space="preserve">114 066 078</t>
  </si>
  <si>
    <t xml:space="preserve">Paty Lecturas</t>
  </si>
  <si>
    <t xml:space="preserve">600011393</t>
  </si>
  <si>
    <t xml:space="preserve">175 931 383</t>
  </si>
  <si>
    <t xml:space="preserve">327739270</t>
  </si>
  <si>
    <t xml:space="preserve">428 063 979</t>
  </si>
  <si>
    <t xml:space="preserve">CAJA 2 (SERIE B)</t>
  </si>
  <si>
    <t xml:space="preserve">625750106</t>
  </si>
  <si>
    <t xml:space="preserve">420 495 442</t>
  </si>
  <si>
    <t xml:space="preserve">Ede cuotas fijas</t>
  </si>
  <si>
    <t xml:space="preserve">293 186 500</t>
  </si>
  <si>
    <t xml:space="preserve">FERNANDA</t>
  </si>
  <si>
    <t xml:space="preserve">66 844 725</t>
  </si>
  <si>
    <t xml:space="preserve">Lety</t>
  </si>
  <si>
    <t xml:space="preserve">722998336</t>
  </si>
  <si>
    <t xml:space="preserve">1 008 838 436</t>
  </si>
  <si>
    <t xml:space="preserve">265 468 321</t>
  </si>
  <si>
    <t xml:space="preserve">MySQL: root</t>
  </si>
  <si>
    <t xml:space="preserve">510 117 401</t>
  </si>
  <si>
    <t xml:space="preserve">211 294 793</t>
  </si>
  <si>
    <t xml:space="preserve">421 164 042</t>
  </si>
  <si>
    <t xml:space="preserve">CAJA 2</t>
  </si>
  <si>
    <t xml:space="preserve">1463557017</t>
  </si>
  <si>
    <t xml:space="preserve">761 038 392</t>
  </si>
  <si>
    <t xml:space="preserve">120 559 717</t>
  </si>
  <si>
    <t xml:space="preserve">1173160533</t>
  </si>
  <si>
    <t xml:space="preserve">28 666 908</t>
  </si>
  <si>
    <t xml:space="preserve">CAJA 1 SERIE "F"</t>
  </si>
  <si>
    <t xml:space="preserve">1753803569</t>
  </si>
  <si>
    <t xml:space="preserve">313 249 353</t>
  </si>
  <si>
    <t xml:space="preserve">463 025 079</t>
  </si>
  <si>
    <t xml:space="preserve">1 583 277 982</t>
  </si>
  <si>
    <t xml:space="preserve">519 041 323</t>
  </si>
  <si>
    <t xml:space="preserve">1 445 392 611</t>
  </si>
  <si>
    <t xml:space="preserve">Caja princial</t>
  </si>
  <si>
    <t xml:space="preserve">286801543</t>
  </si>
  <si>
    <t xml:space="preserve">77 142 233</t>
  </si>
  <si>
    <t xml:space="preserve">predial CAJA</t>
  </si>
  <si>
    <t xml:space="preserve">308144786</t>
  </si>
  <si>
    <t xml:space="preserve">499 976 040</t>
  </si>
  <si>
    <t xml:space="preserve">caja movil agua</t>
  </si>
  <si>
    <t xml:space="preserve">1355243444</t>
  </si>
  <si>
    <t xml:space="preserve">Mysql root: Villar01</t>
  </si>
  <si>
    <t xml:space="preserve">215 842 029</t>
  </si>
  <si>
    <t xml:space="preserve">106 890 189</t>
  </si>
  <si>
    <t xml:space="preserve">423 557 291</t>
  </si>
  <si>
    <t xml:space="preserve">CAJA 1</t>
  </si>
  <si>
    <t xml:space="preserve">268 460 083</t>
  </si>
  <si>
    <t xml:space="preserve">SERVER AQUA-CORE</t>
  </si>
  <si>
    <t xml:space="preserve">1019941340</t>
  </si>
  <si>
    <t xml:space="preserve">1 779 998 863</t>
  </si>
  <si>
    <t xml:space="preserve">366 193 597</t>
  </si>
  <si>
    <t xml:space="preserve">DANIEL A CAPASHH</t>
  </si>
  <si>
    <t xml:space="preserve">274 023 995</t>
  </si>
  <si>
    <t xml:space="preserve">COMPU NUEVA ADMINISTRATIVA</t>
  </si>
  <si>
    <t xml:space="preserve">1785296381</t>
  </si>
  <si>
    <t xml:space="preserve">CAJA 1 SERIE 'Q'</t>
  </si>
  <si>
    <t xml:space="preserve">1443928420</t>
  </si>
  <si>
    <t xml:space="preserve">75 898 573</t>
  </si>
  <si>
    <t xml:space="preserve">ING. YOLANDA</t>
  </si>
  <si>
    <t xml:space="preserve">1 806 244 313</t>
  </si>
  <si>
    <t xml:space="preserve">SERVER SANTA ROSALIA</t>
  </si>
  <si>
    <t xml:space="preserve">1521003874</t>
  </si>
  <si>
    <t xml:space="preserve">Mysql : root : Gabriela@2018</t>
  </si>
  <si>
    <t xml:space="preserve">362 731 221</t>
  </si>
  <si>
    <t xml:space="preserve">Vizcaino</t>
  </si>
  <si>
    <t xml:space="preserve">1333936494</t>
  </si>
  <si>
    <t xml:space="preserve">374 742 538</t>
  </si>
  <si>
    <t xml:space="preserve">Villar01</t>
  </si>
  <si>
    <t xml:space="preserve">caja bahia tortuga</t>
  </si>
  <si>
    <t xml:space="preserve">1092166118</t>
  </si>
  <si>
    <t xml:space="preserve">374 742 576</t>
  </si>
  <si>
    <t xml:space="preserve">Mulege01</t>
  </si>
  <si>
    <t xml:space="preserve">admin B.T</t>
  </si>
  <si>
    <t xml:space="preserve">102948442</t>
  </si>
  <si>
    <t xml:space="preserve">Asuncion</t>
  </si>
  <si>
    <t xml:space="preserve">1023808675</t>
  </si>
  <si>
    <t xml:space="preserve">357 943 115</t>
  </si>
  <si>
    <t xml:space="preserve">Abreojos</t>
  </si>
  <si>
    <t xml:space="preserve">484271612</t>
  </si>
  <si>
    <t xml:space="preserve">357 937 221</t>
  </si>
  <si>
    <t xml:space="preserve">1806244313</t>
  </si>
  <si>
    <t xml:space="preserve">Caja Guerrero Negro</t>
  </si>
  <si>
    <t xml:space="preserve">1942660963</t>
  </si>
  <si>
    <t xml:space="preserve">357 944 648</t>
  </si>
  <si>
    <t xml:space="preserve">Admin G.N</t>
  </si>
  <si>
    <t xml:space="preserve">358834401</t>
  </si>
  <si>
    <t xml:space="preserve">268 441 320</t>
  </si>
  <si>
    <t xml:space="preserve">Paty</t>
  </si>
  <si>
    <t xml:space="preserve">1252063733</t>
  </si>
  <si>
    <t xml:space="preserve">Caja Vista</t>
  </si>
  <si>
    <t xml:space="preserve">1325147181</t>
  </si>
  <si>
    <t xml:space="preserve">CAJA - H. Mulege</t>
  </si>
  <si>
    <t xml:space="preserve">1383396096</t>
  </si>
  <si>
    <t xml:space="preserve">H. Mulege</t>
  </si>
  <si>
    <t xml:space="preserve">1499385953</t>
  </si>
  <si>
    <t xml:space="preserve">37 280 311</t>
  </si>
  <si>
    <t xml:space="preserve">MULEGE SERVER</t>
  </si>
  <si>
    <t xml:space="preserve">1383396029</t>
  </si>
  <si>
    <t xml:space="preserve">374 742 193</t>
  </si>
  <si>
    <t xml:space="preserve">Administrativo</t>
  </si>
  <si>
    <t xml:space="preserve">1856046596</t>
  </si>
  <si>
    <t xml:space="preserve">Caja 2 Santa Rosalía</t>
  </si>
  <si>
    <t xml:space="preserve">1243100986</t>
  </si>
  <si>
    <t xml:space="preserve">374 741 940</t>
  </si>
  <si>
    <t xml:space="preserve">Caja 1 Santa Rosalía</t>
  </si>
  <si>
    <t xml:space="preserve">1217721102</t>
  </si>
  <si>
    <t xml:space="preserve">357 937 049</t>
  </si>
  <si>
    <t xml:space="preserve">1337783144</t>
  </si>
  <si>
    <t xml:space="preserve">Vizcaino caja 10</t>
  </si>
  <si>
    <t xml:space="preserve">354 885 728</t>
  </si>
  <si>
    <t xml:space="preserve">Carolina S.R</t>
  </si>
  <si>
    <t xml:space="preserve">1091618428</t>
  </si>
  <si>
    <t xml:space="preserve">46 396 743</t>
  </si>
  <si>
    <t xml:space="preserve">Guadalupe S.R</t>
  </si>
  <si>
    <t xml:space="preserve">228212217</t>
  </si>
  <si>
    <t xml:space="preserve">251 393 795</t>
  </si>
  <si>
    <t xml:space="preserve">Norma S.R</t>
  </si>
  <si>
    <t xml:space="preserve">1346009848</t>
  </si>
  <si>
    <t xml:space="preserve">La bocana</t>
  </si>
  <si>
    <t xml:space="preserve">1130172064</t>
  </si>
  <si>
    <t xml:space="preserve">374 741 939</t>
  </si>
  <si>
    <t xml:space="preserve">Caja San Ignacio Caja 8</t>
  </si>
  <si>
    <t xml:space="preserve">1080450828</t>
  </si>
  <si>
    <t xml:space="preserve">357 941 663</t>
  </si>
  <si>
    <t xml:space="preserve">Anya S.I</t>
  </si>
  <si>
    <t xml:space="preserve">1575281529</t>
  </si>
  <si>
    <t xml:space="preserve">432 476 886</t>
  </si>
  <si>
    <t xml:space="preserve">Admin S.I</t>
  </si>
  <si>
    <t xml:space="preserve">104271571</t>
  </si>
  <si>
    <t xml:space="preserve">Servidor repetidor de todo</t>
  </si>
  <si>
    <t xml:space="preserve">Administrator, O0$@pas20$24</t>
  </si>
  <si>
    <t xml:space="preserve">ip 23.226.70.54</t>
  </si>
  <si>
    <t xml:space="preserve">Mysql root, Gabriela@2018 , usuario remoto Comercial, Comercial_01*</t>
  </si>
  <si>
    <t xml:space="preserve">Lic.Magda</t>
  </si>
  <si>
    <t xml:space="preserve">1002123774</t>
  </si>
  <si>
    <t xml:space="preserve">SERVIDOR</t>
  </si>
  <si>
    <t xml:space="preserve">1515785739</t>
  </si>
  <si>
    <t xml:space="preserve">Gabriela@2025</t>
  </si>
  <si>
    <t xml:space="preserve">246 582 725</t>
  </si>
  <si>
    <t xml:space="preserve">Contador</t>
  </si>
  <si>
    <t xml:space="preserve">1820643367</t>
  </si>
  <si>
    <t xml:space="preserve">CAJA 1 SERIE "A"</t>
  </si>
  <si>
    <t xml:space="preserve">1160782172</t>
  </si>
  <si>
    <t xml:space="preserve">1697492537</t>
  </si>
  <si>
    <t xml:space="preserve">CAJA 1, SERIE A</t>
  </si>
  <si>
    <t xml:space="preserve">1053066000</t>
  </si>
  <si>
    <t xml:space="preserve">86 182 783</t>
  </si>
  <si>
    <t xml:space="preserve">1061151289</t>
  </si>
  <si>
    <t xml:space="preserve">1369065462</t>
  </si>
  <si>
    <t xml:space="preserve">1684725874</t>
  </si>
  <si>
    <t xml:space="preserve">1989650103</t>
  </si>
  <si>
    <t xml:space="preserve">COMERCIAL</t>
  </si>
  <si>
    <t xml:space="preserve">JUAN CARLOS</t>
  </si>
  <si>
    <t xml:space="preserve">1028234264</t>
  </si>
  <si>
    <t xml:space="preserve">85651979</t>
  </si>
  <si>
    <t xml:space="preserve">CAJA 3 SERIE"C"</t>
  </si>
  <si>
    <t xml:space="preserve">1368319261</t>
  </si>
  <si>
    <t xml:space="preserve">1242982173</t>
  </si>
  <si>
    <t xml:space="preserve">CAJA 3, SERIE C</t>
  </si>
  <si>
    <t xml:space="preserve">1594315102</t>
  </si>
  <si>
    <t xml:space="preserve">437 443 554</t>
  </si>
  <si>
    <t xml:space="preserve">administrator V~aNlk;TiBrf}0eG5V&gt;1</t>
  </si>
  <si>
    <t xml:space="preserve">264510734</t>
  </si>
  <si>
    <t xml:space="preserve">Sistematix25</t>
  </si>
  <si>
    <t xml:space="preserve">177.242.139.182,SQL Server :siaapico_sap, Gabriela@2018</t>
  </si>
  <si>
    <t xml:space="preserve">SERVER NEUBOX</t>
  </si>
  <si>
    <t xml:space="preserve">441 677 223</t>
  </si>
  <si>
    <t xml:space="preserve">Plesk Admin Login
URL: https://162.214.201.224:8443
Username: admin
Password: JCYpkd4S1KG4ETfz</t>
  </si>
  <si>
    <t xml:space="preserve">clave de windows, IP/Puerto: 162.214.201.224:4489
Usuario: ServerAdmin
Contraseña: 9N2sbz0^sik3aOan4E78Doo7xA3790nw</t>
  </si>
  <si>
    <t xml:space="preserve">1 531 640 783</t>
  </si>
  <si>
    <t xml:space="preserve">Class_01</t>
  </si>
  <si>
    <t xml:space="preserve">ip:162.214.201.224; SQL Server :siaapico_sap, Gabriela@2018</t>
  </si>
  <si>
    <t xml:space="preserve">contenidos@class-labels.com
psw: cont_2022*    ,drive</t>
  </si>
  <si>
    <t xml:space="preserve">https://svw109.serverneubox.com.mx:8443/smb/web/view</t>
  </si>
  <si>
    <t xml:space="preserve">data source=etiquetasdigitales.com.mx;initial catalog=cimcomov_siaapi;user id=cimcomov_siaapi;password=Gabriela@2018;</t>
  </si>
  <si>
    <t xml:space="preserve">Acceso a Plesk:  https://65.99.205.97:8443/  Usuario: sutcuaut  Contraseña: L8$Rfiul15A6*S</t>
  </si>
  <si>
    <t xml:space="preserve">Server=65.99.205.97;Database=sutcuaut_basesindicato;User Id=sutcuaut_administrador;Password=Trabajadores@2023;TrustServerCertificate=True;</t>
  </si>
  <si>
    <t xml:space="preserve">Plex: https://server164.tecnoweb.net:8443   Usuario: erpabakc   Contraseña: @bY7bZ71Y&amp;8hcN   FTP: 179.61.12.164</t>
  </si>
  <si>
    <t xml:space="preserve">SERVER=179.61.12.164;DATABASE=erpabakc_siaapidemo;UID=erpabakc_siaapidemo;PWD=Gabriela@2025;multipleactiveresultsets=True</t>
  </si>
  <si>
    <t xml:space="preserve">wINDOWS: Administrador ARC@2025</t>
  </si>
  <si>
    <t xml:space="preserve">162036871</t>
  </si>
  <si>
    <t xml:space="preserve">ctrl+shift+esc panel tareas</t>
  </si>
  <si>
    <t xml:space="preserve">API Keys de Timbrado (Vigma Timbrado Gateway)</t>
  </si>
  <si>
    <t xml:space="preserve">Referencia</t>
  </si>
  <si>
    <t xml:space="preserve">PAC</t>
  </si>
  <si>
    <t xml:space="preserve">Ambiente</t>
  </si>
  <si>
    <t xml:space="preserve">API Key</t>
  </si>
  <si>
    <t xml:space="preserve">Demo</t>
  </si>
  <si>
    <t xml:space="preserve">Vigma Timbrado Gateway</t>
  </si>
  <si>
    <t xml:space="preserve">Producción</t>
  </si>
  <si>
    <t xml:space="preserve">tg_live_d3f23b1248d9f0005f482f2ab83a5fe4c793f2a12773494aed33f3de325dd681</t>
  </si>
  <si>
    <t xml:space="preserve">Pruebas / Demo</t>
  </si>
  <si>
    <t xml:space="preserve">abak</t>
  </si>
  <si>
    <t xml:space="preserve">tg_live_360087a2bc7a5c2e9035fc7f8958016bdc134fb2633f9154d53bd4fd65535664</t>
  </si>
  <si>
    <t xml:space="preserve">vigma</t>
  </si>
  <si>
    <t xml:space="preserve">tg_live_c51f853a34d9c03d7fce7ea18895a08593a0ce5524ab0c594f0e0a9d174e3063</t>
  </si>
  <si>
    <t xml:space="preserve">zurich</t>
  </si>
  <si>
    <t xml:space="preserve">Pruebas</t>
  </si>
  <si>
    <t xml:space="preserve">tg_test_2b42e00c576b2457544313a53f8336bd9fb8cb78b9e107b4f10c133e16c6f34c</t>
  </si>
  <si>
    <t xml:space="preserve">Mulege</t>
  </si>
  <si>
    <t xml:space="preserve">tg_live_6695a78a5549957789a16a711b721d77ab918a0a8be8d5b03ccd5b6eeb002b12</t>
  </si>
  <si>
    <t xml:space="preserve">Mixquihuala</t>
  </si>
  <si>
    <t xml:space="preserve">tg_live_82ecb8e7802160ed8ca57d18beef8a850fcbc0df28282b17a7409cc30156647e</t>
  </si>
  <si>
    <t xml:space="preserve">Aserradero</t>
  </si>
  <si>
    <t xml:space="preserve">tg_live_2fef060cc206e3047989a49bffb28fd1a263ac634fa5fc3379cac647d8e5376e</t>
  </si>
  <si>
    <t xml:space="preserve">huejutla</t>
  </si>
  <si>
    <t xml:space="preserve">tg_live_8abfe33dcfd9552a7f3b78712d57053923e449ec6747bae8a85e158b41caf611</t>
  </si>
  <si>
    <t xml:space="preserve">progreso</t>
  </si>
  <si>
    <t xml:space="preserve">tg_live_b4fb412ae7b389ca9297edbc2369b5b727a6326c8f64f8ff33cdd2e421c464fa</t>
  </si>
  <si>
    <t xml:space="preserve">class</t>
  </si>
  <si>
    <t xml:space="preserve">tg_live_1d066054347801ef6805a87d7f4fd15687de56a5d502f93d615294838447e3df</t>
  </si>
  <si>
    <t xml:space="preserve">Agua Actopan</t>
  </si>
  <si>
    <t xml:space="preserve">tg_live_c2b137be7c532c367edc09ad03390f9dc8753837e363e1d005917fbe28bd1373</t>
  </si>
  <si>
    <t xml:space="preserve">Tezontepec</t>
  </si>
  <si>
    <t xml:space="preserve">tg_live_dfbc1f15d7f43c4c17fc0803e68da752c1c33d3540ce19cdeb547224655d5e88</t>
  </si>
  <si>
    <t xml:space="preserve">ajacuba</t>
  </si>
  <si>
    <t xml:space="preserve">tg_live_320e3b73048d8c240de5e407824b6ca72cb8acfb4b0c0fb6c73ee92f7058139e</t>
  </si>
  <si>
    <t xml:space="preserve">Acaxochitlan</t>
  </si>
  <si>
    <t xml:space="preserve">tg_live_37de2549fc72807543eb341c79f0101745cd1a28efe34c83aecf9dcbf3280760</t>
  </si>
  <si>
    <t xml:space="preserve">arenal</t>
  </si>
  <si>
    <t xml:space="preserve">tg_live_ad839d41aeceaa34601e48d555369744070ba6891891a877ea4f017ae475fce7</t>
  </si>
  <si>
    <t xml:space="preserve">Cuautepec</t>
  </si>
  <si>
    <t xml:space="preserve">tg_live_94a9ffc60b1db60423ab6cbceac1da14b4388c18d1bd692ee8ef6895128fdf91</t>
  </si>
  <si>
    <t xml:space="preserve">Huasca</t>
  </si>
  <si>
    <t xml:space="preserve">tg_live_10b553e1166f34078dc2560c01f23ac8fd458cde8f7413bdfae45efa38b8c628</t>
  </si>
  <si>
    <t xml:space="preserve">Credenciales Factura.LO</t>
  </si>
  <si>
    <t xml:space="preserve">CUENTA MAESTRA (Factura.LO)</t>
  </si>
  <si>
    <t xml:space="preserve">Cuenta</t>
  </si>
  <si>
    <t xml:space="preserve">Usuario</t>
  </si>
  <si>
    <t xml:space="preserve">admin34060</t>
  </si>
  <si>
    <t xml:space="preserve">Aa94054$</t>
  </si>
  <si>
    <t xml:space="preserve">API Key Maestra</t>
  </si>
  <si>
    <t xml:space="preserve">765b14787451476dbb4ab6a9e3a10cb1</t>
  </si>
  <si>
    <t xml:space="preserve">Web Service SOAP</t>
  </si>
  <si>
    <t xml:space="preserve">https://app.facturaloplus.com/ws/servicio.do?wsdl</t>
  </si>
  <si>
    <t xml:space="preserve">Web Service REST</t>
  </si>
  <si>
    <t xml:space="preserve">https://app.facturaloplus.com/api/rest/servicio/</t>
  </si>
  <si>
    <t xml:space="preserve">CPanel</t>
  </si>
  <si>
    <t xml:space="preserve">https://panel.facturaloplus.com/usuarios/login</t>
  </si>
  <si>
    <t xml:space="preserve">API KEY POR CLIENTE</t>
  </si>
  <si>
    <t xml:space="preserve">Razon Social</t>
  </si>
  <si>
    <t xml:space="preserve">30fe4871251b4904a1daf115f148a706</t>
  </si>
  <si>
    <t xml:space="preserve">ad1e4e421a0b4a3ba48e6c79e7b0f510</t>
  </si>
  <si>
    <t xml:space="preserve">ZAIDA</t>
  </si>
  <si>
    <t xml:space="preserve">471b10b21c9d467283b605ee9ae07abb</t>
  </si>
  <si>
    <t xml:space="preserve">7721016818.0</t>
  </si>
  <si>
    <t xml:space="preserve">COMISION DE AGUA Y ALCANTARILLADO DEL MUNICIPIO DE PROGRESO DE ALVARO OBREGON, HIDALGO</t>
  </si>
  <si>
    <t xml:space="preserve">a6f4fd6e09794cbeb1937bf5fa5d13fe</t>
  </si>
  <si>
    <t xml:space="preserve">CARMEN ESCAMILLA</t>
  </si>
  <si>
    <t xml:space="preserve">7387250950.0</t>
  </si>
  <si>
    <t xml:space="preserve">08808511cf754e4c8ac7144d517fc3eb</t>
  </si>
  <si>
    <t xml:space="preserve">JAZMIN TERESA RAMIREZ CORTES</t>
  </si>
  <si>
    <t xml:space="preserve">7717920101.0</t>
  </si>
  <si>
    <t xml:space="preserve">26ce23f2f08443c9a031403b06b3544a</t>
  </si>
  <si>
    <t xml:space="preserve">7757703600.0</t>
  </si>
  <si>
    <t xml:space="preserve">6652e2cce3054248b0f013d95e925d97</t>
  </si>
  <si>
    <t xml:space="preserve">7387350574.0</t>
  </si>
  <si>
    <t xml:space="preserve">864e0fd34be74feca7628a7a08158f3c</t>
  </si>
  <si>
    <t xml:space="preserve">Lic. CAROLINA</t>
  </si>
  <si>
    <t xml:space="preserve">7751269140.0</t>
  </si>
  <si>
    <t xml:space="preserve">7cd3c8ad17044ee9aeb6d6f95e2f5d6e</t>
  </si>
  <si>
    <t xml:space="preserve">AGUA ARENAL</t>
  </si>
  <si>
    <t xml:space="preserve">212d4200384e417ea586dd9713385146</t>
  </si>
  <si>
    <t xml:space="preserve">773379886.0</t>
  </si>
  <si>
    <t xml:space="preserve">7a5a02208efb4530acdef104b6873c23</t>
  </si>
  <si>
    <t xml:space="preserve">1f890ebc319f4f4bb1bc7084918dae60</t>
  </si>
  <si>
    <t xml:space="preserve">CONTRALORA</t>
  </si>
  <si>
    <t xml:space="preserve">b8996ac3cf234aa48f978d2f1c1f7971</t>
  </si>
  <si>
    <t xml:space="preserve">JUAN CARLOS ORTIZ GALINDO</t>
  </si>
  <si>
    <t xml:space="preserve">7540125.0</t>
  </si>
  <si>
    <t xml:space="preserve">8d3fa7dc7805401384d986f8576e61e3</t>
  </si>
  <si>
    <t xml:space="preserve">LIC RUBI ALVAREZ</t>
  </si>
  <si>
    <t xml:space="preserve">e135861bfef74a5bae5445ade128ae5e</t>
  </si>
  <si>
    <t xml:space="preserve">BRENDA</t>
  </si>
  <si>
    <t xml:space="preserve">3a4b85b8b86c45adae6f31aedc3fd077</t>
  </si>
  <si>
    <t xml:space="preserve">ISRAEL VILLAR MEDINA</t>
  </si>
  <si>
    <t xml:space="preserve">7757546170.0</t>
  </si>
  <si>
    <t xml:space="preserve">e5a00683a046477fae3e3c96253385bc</t>
  </si>
  <si>
    <t xml:space="preserve">7751522351.0</t>
  </si>
  <si>
    <t xml:space="preserve">421e190578f448918b40c291d0cbc098</t>
  </si>
  <si>
    <t xml:space="preserve">55262042000.0</t>
  </si>
  <si>
    <t xml:space="preserve">3245a05a9dad400590c3d0a873ccf237</t>
  </si>
  <si>
    <t xml:space="preserve">ALEJANDRO DE PAZ</t>
  </si>
  <si>
    <t xml:space="preserve">5566105972.0</t>
  </si>
  <si>
    <t xml:space="preserve">de724ef419004c26bf364c3ca2302a80</t>
  </si>
  <si>
    <t xml:space="preserve">3318114545.0</t>
  </si>
  <si>
    <t xml:space="preserve">86299ad4d9a34f7382429ccfa69712d9</t>
  </si>
  <si>
    <t xml:space="preserve">Usuarios del Sistema (por cliente)</t>
  </si>
  <si>
    <t xml:space="preserve">NombreCompleto</t>
  </si>
  <si>
    <t xml:space="preserve">Patricia</t>
  </si>
  <si>
    <t xml:space="preserve">Escoto@2025</t>
  </si>
  <si>
    <t xml:space="preserve">Ventas</t>
  </si>
  <si>
    <t xml:space="preserve">mp.escoto@industriasarc.com.mx</t>
  </si>
  <si>
    <t xml:space="preserve">PATRICIA ESCOTO</t>
  </si>
  <si>
    <t xml:space="preserve">Orly</t>
  </si>
  <si>
    <t xml:space="preserve">LoraV@2025</t>
  </si>
  <si>
    <t xml:space="preserve">o.garduno@insdustriasarc.com.mx</t>
  </si>
  <si>
    <t xml:space="preserve">ORLY GARDUÑO LORA</t>
  </si>
  <si>
    <t xml:space="preserve">Rafael</t>
  </si>
  <si>
    <t xml:space="preserve">RubIo@2025</t>
  </si>
  <si>
    <t xml:space="preserve">r.rubio@industriasarc.com.mx</t>
  </si>
  <si>
    <t xml:space="preserve">RAFAEL RUBIO</t>
  </si>
  <si>
    <t xml:space="preserve">Elizabeth</t>
  </si>
  <si>
    <t xml:space="preserve">eqe3@2025</t>
  </si>
  <si>
    <t xml:space="preserve">elizabethrqe3@gamil.com</t>
  </si>
  <si>
    <t xml:space="preserve">ELIZABETH RUEDA QUIJANO</t>
  </si>
  <si>
    <t xml:space="preserve">Daniel</t>
  </si>
  <si>
    <t xml:space="preserve">Daniel@2025%</t>
  </si>
  <si>
    <t xml:space="preserve">Almacenista</t>
  </si>
  <si>
    <t xml:space="preserve">dany,salazarfrias@outlook.com</t>
  </si>
  <si>
    <t xml:space="preserve">DANIEL ZALASAR FRIAS</t>
  </si>
  <si>
    <t xml:space="preserve">Jose Alberto</t>
  </si>
  <si>
    <t xml:space="preserve">Srey@2025</t>
  </si>
  <si>
    <t xml:space="preserve">Contraseña de sistema y de almacenista</t>
  </si>
  <si>
    <t xml:space="preserve">JOSE ALBERTO SANCHES REYES</t>
  </si>
  <si>
    <t xml:space="preserve">German</t>
  </si>
  <si>
    <t xml:space="preserve">German@2025</t>
  </si>
  <si>
    <t xml:space="preserve">Planeacion</t>
  </si>
  <si>
    <t xml:space="preserve">g.brizeno@industriasarc.com.mx</t>
  </si>
  <si>
    <t xml:space="preserve">GERMAN ALEJANDRO BRIZEÑO GARCIA</t>
  </si>
  <si>
    <t xml:space="preserve">Emmitt</t>
  </si>
  <si>
    <t xml:space="preserve">Emmitt@2025</t>
  </si>
  <si>
    <t xml:space="preserve">emmitt1096@gmail.com</t>
  </si>
  <si>
    <t xml:space="preserve">EMMITT DANCE CUREÑO MORALES</t>
  </si>
  <si>
    <t xml:space="preserve">JuanC</t>
  </si>
  <si>
    <t xml:space="preserve">JuanC@2025%</t>
  </si>
  <si>
    <t xml:space="preserve">Produccion</t>
  </si>
  <si>
    <t xml:space="preserve">jccr1369@hotmail.com</t>
  </si>
  <si>
    <t xml:space="preserve">JUAN CARLOS CRUZ</t>
  </si>
  <si>
    <t xml:space="preserve">Infraestructura propia (VPS, RustDesk, Servidores)</t>
  </si>
  <si>
    <t xml:space="preserve">CONFIGURACIÓN DE RUSTDESK (Servidor propio)</t>
  </si>
  <si>
    <t xml:space="preserve">Servidor de IDs</t>
  </si>
  <si>
    <t xml:space="preserve">217.15.168.43</t>
  </si>
  <si>
    <t xml:space="preserve">Servidor Relay</t>
  </si>
  <si>
    <t xml:space="preserve">Public Key</t>
  </si>
  <si>
    <t xml:space="preserve">VYb6stT2eONEvwN0o5S76kFTkmyXd4FLPnS706jt3UQ=</t>
  </si>
  <si>
    <t xml:space="preserve">VPS PRIVADO</t>
  </si>
  <si>
    <t xml:space="preserve">Campo</t>
  </si>
  <si>
    <t xml:space="preserve">Valor</t>
  </si>
  <si>
    <t xml:space="preserve">Detalle</t>
  </si>
  <si>
    <t xml:space="preserve">VPS Privado</t>
  </si>
  <si>
    <t xml:space="preserve">panel</t>
  </si>
  <si>
    <t xml:space="preserve">https://217.15.168.43:33781/93d5752e</t>
  </si>
  <si>
    <t xml:space="preserve">Mysql: root-&gt;Gabriela@2025</t>
  </si>
  <si>
    <t xml:space="preserve">usuario:   nvvr3udy</t>
  </si>
  <si>
    <t xml:space="preserve">May-&gt;May@2025   UZIEL -&gt;Uziel@2025</t>
  </si>
  <si>
    <t xml:space="preserve">pass:  4f637072</t>
  </si>
  <si>
    <t xml:space="preserve">ip:217.15.168.43</t>
  </si>
  <si>
    <t xml:space="preserve">user ubuntu: root, Gabriela@2025</t>
  </si>
  <si>
    <t xml:space="preserve">Vista Consolidada por Cliente</t>
  </si>
  <si>
    <t xml:space="preserve">Selecciona ClienteID:</t>
  </si>
  <si>
    <t xml:space="preserve">DATOS DEL CLIENTE</t>
  </si>
  <si>
    <t xml:space="preserve">Nombre Corto</t>
  </si>
  <si>
    <t xml:space="preserve">Razón Social</t>
  </si>
  <si>
    <t xml:space="preserve">Teléfono</t>
  </si>
  <si>
    <t xml:space="preserve">Dirección</t>
  </si>
  <si>
    <t xml:space="preserve">ACCESOS REMOTOS</t>
  </si>
  <si>
    <t xml:space="preserve">Equipo</t>
  </si>
  <si>
    <t xml:space="preserve">TIMBRADO (API Keys)</t>
  </si>
  <si>
    <t xml:space="preserve">FACTURA.LO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</si>
</sst>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1F3864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  <fill>
      <patternFill patternType="solid">
        <fgColor rgb="FFFFE699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Accesos" displayName="tblAccesos" ref="A2:I402" headerRowCount="1" totalsRowCount="0" totalsRowShown="0">
  <autoFilter ref="A2:I402"/>
  <tableColumns count="9">
    <tableColumn id="1" name="ClienteID"/>
    <tableColumn id="2" name="Cliente"/>
    <tableColumn id="3" name="Tipo"/>
    <tableColumn id="4" name="Area"/>
    <tableColumn id="5" name="Equipo / Alias"/>
    <tableColumn id="6" name="ID"/>
    <tableColumn id="7" name="Password"/>
    <tableColumn id="8" name="Notas"/>
    <tableColumn id="9" name="UltimaActualizacion"/>
  </tableColumns>
</table>
</file>

<file path=xl/tables/table2.xml><?xml version="1.0" encoding="utf-8"?>
<table xmlns="http://schemas.openxmlformats.org/spreadsheetml/2006/main" id="2" name="tblClientes" displayName="tblClientes" ref="A2:M202" headerRowCount="1" totalsRowCount="0" totalsRowShown="0">
  <autoFilter ref="A2:M202"/>
  <tableColumns count="13">
    <tableColumn id="1" name="ClienteID"/>
    <tableColumn id="2" name="NombreCorto"/>
    <tableColumn id="3" name="RazonSocial"/>
    <tableColumn id="4" name="RFC"/>
    <tableColumn id="5" name="Contacto"/>
    <tableColumn id="6" name="Telefono"/>
    <tableColumn id="7" name="Correo"/>
    <tableColumn id="8" name="Direccion"/>
    <tableColumn id="9" name="CP"/>
    <tableColumn id="10" name="Estado"/>
    <tableColumn id="11" name="Estatus"/>
    <tableColumn id="12" name="UltimaActualizacion"/>
    <tableColumn id="13" name="Notas"/>
  </tableColumns>
</table>
</file>

<file path=xl/tables/table3.xml><?xml version="1.0" encoding="utf-8"?>
<table xmlns="http://schemas.openxmlformats.org/spreadsheetml/2006/main" id="3" name="tblTimbrado" displayName="tblTimbrado" ref="A2:H202" headerRowCount="1" totalsRowCount="0" totalsRowShown="0">
  <autoFilter ref="A2:H202"/>
  <tableColumns count="8">
    <tableColumn id="1" name="ClienteID"/>
    <tableColumn id="2" name="Cliente"/>
    <tableColumn id="3" name="Referencia"/>
    <tableColumn id="4" name="PAC"/>
    <tableColumn id="5" name="Ambiente"/>
    <tableColumn id="6" name="API Key"/>
    <tableColumn id="7" name="Notas"/>
    <tableColumn id="8" name="UltimaActualizacion"/>
  </tableColumns>
</table>
</file>

<file path=xl/tables/table4.xml><?xml version="1.0" encoding="utf-8"?>
<table xmlns="http://schemas.openxmlformats.org/spreadsheetml/2006/main" id="4" name="tblUsuarios" displayName="tblUsuarios" ref="A2:H102" headerRowCount="1" totalsRowCount="0" totalsRowShown="0">
  <autoFilter ref="A2:H102"/>
  <tableColumns count="8">
    <tableColumn id="1" name="ClienteID"/>
    <tableColumn id="2" name="Cliente"/>
    <tableColumn id="3" name="Usuario"/>
    <tableColumn id="4" name="Password"/>
    <tableColumn id="5" name="Area"/>
    <tableColumn id="6" name="Correo"/>
    <tableColumn id="7" name="NombreCompleto"/>
    <tableColumn id="8" name="UltimaActualizac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2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</row>
    <row r="3" customFormat="false" ht="111.7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</row>
    <row r="4" customFormat="false" ht="63.7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</row>
    <row r="5" customFormat="false" ht="1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</row>
    <row r="6" customFormat="false" ht="1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</row>
  </sheetData>
  <mergeCells count="6">
    <mergeCell ref="A1:F1"/>
    <mergeCell ref="B2:F2"/>
    <mergeCell ref="B3:F3"/>
    <mergeCell ref="B4:F4"/>
    <mergeCell ref="B5:F5"/>
    <mergeCell ref="B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30"/>
  </cols>
  <sheetData>
    <row r="1" customFormat="false" ht="27.75" hidden="false" customHeight="true" outlineLevel="0" collapsed="false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customFormat="false" ht="15" hidden="false" customHeight="false" outlineLevel="0" collapsed="false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/>
      <c r="J3" s="5" t="s">
        <v>33</v>
      </c>
      <c r="K3" s="5" t="s">
        <v>34</v>
      </c>
      <c r="L3" s="5" t="s">
        <v>35</v>
      </c>
      <c r="M3" s="5"/>
    </row>
    <row r="4" customFormat="false" ht="15" hidden="false" customHeight="false" outlineLevel="0" collapsed="false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/>
      <c r="I4" s="5"/>
      <c r="J4" s="5" t="s">
        <v>33</v>
      </c>
      <c r="K4" s="5" t="s">
        <v>34</v>
      </c>
      <c r="L4" s="5" t="s">
        <v>35</v>
      </c>
      <c r="M4" s="5"/>
    </row>
    <row r="5" customFormat="false" ht="15" hidden="false" customHeight="false" outlineLevel="0" collapsed="false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/>
      <c r="G5" s="5" t="s">
        <v>48</v>
      </c>
      <c r="H5" s="5"/>
      <c r="I5" s="5" t="s">
        <v>49</v>
      </c>
      <c r="J5" s="5" t="s">
        <v>33</v>
      </c>
      <c r="K5" s="5" t="s">
        <v>34</v>
      </c>
      <c r="L5" s="5" t="s">
        <v>35</v>
      </c>
      <c r="M5" s="5"/>
    </row>
    <row r="6" customFormat="false" ht="20.85" hidden="false" customHeight="false" outlineLevel="0" collapsed="false">
      <c r="A6" s="5" t="s">
        <v>50</v>
      </c>
      <c r="B6" s="5" t="s">
        <v>51</v>
      </c>
      <c r="C6" s="5" t="s">
        <v>52</v>
      </c>
      <c r="D6" s="5" t="s">
        <v>53</v>
      </c>
      <c r="E6" s="5" t="s">
        <v>54</v>
      </c>
      <c r="F6" s="5" t="s">
        <v>55</v>
      </c>
      <c r="G6" s="5" t="s">
        <v>56</v>
      </c>
      <c r="H6" s="5"/>
      <c r="I6" s="5"/>
      <c r="J6" s="5" t="s">
        <v>33</v>
      </c>
      <c r="K6" s="5" t="s">
        <v>34</v>
      </c>
      <c r="L6" s="5" t="s">
        <v>35</v>
      </c>
      <c r="M6" s="5"/>
    </row>
    <row r="7" customFormat="false" ht="20.85" hidden="false" customHeight="false" outlineLevel="0" collapsed="false">
      <c r="A7" s="5" t="s">
        <v>57</v>
      </c>
      <c r="B7" s="5" t="s">
        <v>58</v>
      </c>
      <c r="C7" s="5" t="s">
        <v>59</v>
      </c>
      <c r="D7" s="5" t="s">
        <v>60</v>
      </c>
      <c r="E7" s="5" t="s">
        <v>61</v>
      </c>
      <c r="F7" s="5" t="s">
        <v>62</v>
      </c>
      <c r="G7" s="5" t="s">
        <v>63</v>
      </c>
      <c r="H7" s="5" t="s">
        <v>64</v>
      </c>
      <c r="I7" s="5" t="s">
        <v>65</v>
      </c>
      <c r="J7" s="5" t="s">
        <v>66</v>
      </c>
      <c r="K7" s="5" t="s">
        <v>34</v>
      </c>
      <c r="L7" s="5" t="s">
        <v>35</v>
      </c>
      <c r="M7" s="5" t="s">
        <v>67</v>
      </c>
    </row>
    <row r="8" customFormat="false" ht="30.55" hidden="false" customHeight="false" outlineLevel="0" collapsed="false">
      <c r="A8" s="5" t="s">
        <v>68</v>
      </c>
      <c r="B8" s="5" t="s">
        <v>69</v>
      </c>
      <c r="C8" s="5" t="s">
        <v>70</v>
      </c>
      <c r="D8" s="5" t="s">
        <v>71</v>
      </c>
      <c r="E8" s="5" t="s">
        <v>72</v>
      </c>
      <c r="F8" s="5"/>
      <c r="G8" s="5" t="s">
        <v>73</v>
      </c>
      <c r="H8" s="5" t="s">
        <v>74</v>
      </c>
      <c r="I8" s="5" t="s">
        <v>75</v>
      </c>
      <c r="J8" s="5" t="s">
        <v>33</v>
      </c>
      <c r="K8" s="5" t="s">
        <v>34</v>
      </c>
      <c r="L8" s="5" t="s">
        <v>35</v>
      </c>
      <c r="M8" s="5"/>
    </row>
    <row r="9" customFormat="false" ht="15" hidden="false" customHeight="false" outlineLevel="0" collapsed="false">
      <c r="A9" s="5" t="s">
        <v>76</v>
      </c>
      <c r="B9" s="5" t="s">
        <v>77</v>
      </c>
      <c r="C9" s="5" t="s">
        <v>78</v>
      </c>
      <c r="D9" s="5" t="s">
        <v>79</v>
      </c>
      <c r="E9" s="5" t="s">
        <v>80</v>
      </c>
      <c r="F9" s="5" t="s">
        <v>81</v>
      </c>
      <c r="G9" s="5" t="s">
        <v>82</v>
      </c>
      <c r="H9" s="5" t="s">
        <v>83</v>
      </c>
      <c r="I9" s="5" t="s">
        <v>84</v>
      </c>
      <c r="J9" s="5" t="s">
        <v>66</v>
      </c>
      <c r="K9" s="5" t="s">
        <v>34</v>
      </c>
      <c r="L9" s="5" t="s">
        <v>35</v>
      </c>
      <c r="M9" s="5"/>
    </row>
    <row r="10" customFormat="false" ht="20.85" hidden="false" customHeight="false" outlineLevel="0" collapsed="false">
      <c r="A10" s="5" t="s">
        <v>85</v>
      </c>
      <c r="B10" s="5" t="s">
        <v>86</v>
      </c>
      <c r="C10" s="5" t="s">
        <v>87</v>
      </c>
      <c r="D10" s="5" t="s">
        <v>88</v>
      </c>
      <c r="E10" s="5" t="s">
        <v>89</v>
      </c>
      <c r="F10" s="5" t="s">
        <v>90</v>
      </c>
      <c r="G10" s="5" t="s">
        <v>91</v>
      </c>
      <c r="H10" s="5" t="s">
        <v>92</v>
      </c>
      <c r="I10" s="5" t="s">
        <v>93</v>
      </c>
      <c r="J10" s="5" t="s">
        <v>33</v>
      </c>
      <c r="K10" s="5" t="s">
        <v>34</v>
      </c>
      <c r="L10" s="5" t="s">
        <v>35</v>
      </c>
      <c r="M10" s="5"/>
    </row>
    <row r="11" customFormat="false" ht="20.85" hidden="false" customHeight="false" outlineLevel="0" collapsed="false">
      <c r="A11" s="5" t="s">
        <v>94</v>
      </c>
      <c r="B11" s="5" t="s">
        <v>95</v>
      </c>
      <c r="C11" s="5" t="s">
        <v>96</v>
      </c>
      <c r="D11" s="5" t="s">
        <v>97</v>
      </c>
      <c r="E11" s="5" t="s">
        <v>98</v>
      </c>
      <c r="F11" s="5"/>
      <c r="G11" s="5" t="s">
        <v>99</v>
      </c>
      <c r="H11" s="5"/>
      <c r="I11" s="5"/>
      <c r="J11" s="5" t="s">
        <v>33</v>
      </c>
      <c r="K11" s="5" t="s">
        <v>34</v>
      </c>
      <c r="L11" s="5" t="s">
        <v>35</v>
      </c>
      <c r="M11" s="5"/>
    </row>
    <row r="12" customFormat="false" ht="15" hidden="false" customHeight="false" outlineLevel="0" collapsed="false">
      <c r="A12" s="5" t="s">
        <v>100</v>
      </c>
      <c r="B12" s="5" t="s">
        <v>101</v>
      </c>
      <c r="C12" s="5" t="s">
        <v>102</v>
      </c>
      <c r="D12" s="5" t="s">
        <v>103</v>
      </c>
      <c r="E12" s="5" t="s">
        <v>104</v>
      </c>
      <c r="F12" s="5" t="s">
        <v>105</v>
      </c>
      <c r="G12" s="5" t="s">
        <v>106</v>
      </c>
      <c r="H12" s="5"/>
      <c r="I12" s="5" t="s">
        <v>93</v>
      </c>
      <c r="J12" s="5" t="s">
        <v>33</v>
      </c>
      <c r="K12" s="5" t="s">
        <v>34</v>
      </c>
      <c r="L12" s="5" t="s">
        <v>35</v>
      </c>
      <c r="M12" s="5" t="s">
        <v>107</v>
      </c>
    </row>
    <row r="13" customFormat="false" ht="20.85" hidden="false" customHeight="false" outlineLevel="0" collapsed="false">
      <c r="A13" s="5" t="s">
        <v>108</v>
      </c>
      <c r="B13" s="5" t="s">
        <v>109</v>
      </c>
      <c r="C13" s="5" t="s">
        <v>109</v>
      </c>
      <c r="D13" s="5" t="s">
        <v>110</v>
      </c>
      <c r="E13" s="5" t="s">
        <v>111</v>
      </c>
      <c r="F13" s="5" t="s">
        <v>112</v>
      </c>
      <c r="G13" s="5" t="s">
        <v>113</v>
      </c>
      <c r="H13" s="5" t="s">
        <v>114</v>
      </c>
      <c r="I13" s="5" t="s">
        <v>115</v>
      </c>
      <c r="J13" s="5" t="s">
        <v>66</v>
      </c>
      <c r="K13" s="5" t="s">
        <v>34</v>
      </c>
      <c r="L13" s="5" t="s">
        <v>35</v>
      </c>
      <c r="M13" s="5"/>
    </row>
    <row r="14" customFormat="false" ht="15" hidden="false" customHeight="false" outlineLevel="0" collapsed="false">
      <c r="A14" s="5" t="s">
        <v>116</v>
      </c>
      <c r="B14" s="5" t="s">
        <v>117</v>
      </c>
      <c r="C14" s="5" t="s">
        <v>118</v>
      </c>
      <c r="D14" s="5" t="s">
        <v>119</v>
      </c>
      <c r="E14" s="5" t="s">
        <v>120</v>
      </c>
      <c r="F14" s="5" t="s">
        <v>121</v>
      </c>
      <c r="G14" s="5" t="s">
        <v>122</v>
      </c>
      <c r="H14" s="5" t="s">
        <v>123</v>
      </c>
      <c r="I14" s="5" t="s">
        <v>124</v>
      </c>
      <c r="J14" s="5" t="s">
        <v>66</v>
      </c>
      <c r="K14" s="5" t="s">
        <v>34</v>
      </c>
      <c r="L14" s="5" t="s">
        <v>35</v>
      </c>
      <c r="M14" s="5"/>
    </row>
    <row r="15" customFormat="false" ht="20.85" hidden="false" customHeight="false" outlineLevel="0" collapsed="false">
      <c r="A15" s="5" t="s">
        <v>125</v>
      </c>
      <c r="B15" s="5" t="s">
        <v>126</v>
      </c>
      <c r="C15" s="5" t="s">
        <v>127</v>
      </c>
      <c r="D15" s="5" t="s">
        <v>128</v>
      </c>
      <c r="E15" s="5" t="s">
        <v>129</v>
      </c>
      <c r="F15" s="5" t="s">
        <v>130</v>
      </c>
      <c r="G15" s="5" t="s">
        <v>131</v>
      </c>
      <c r="H15" s="5" t="s">
        <v>132</v>
      </c>
      <c r="I15" s="5" t="s">
        <v>133</v>
      </c>
      <c r="J15" s="5" t="s">
        <v>33</v>
      </c>
      <c r="K15" s="5" t="s">
        <v>34</v>
      </c>
      <c r="L15" s="5" t="s">
        <v>35</v>
      </c>
      <c r="M15" s="5"/>
    </row>
    <row r="16" customFormat="false" ht="20.85" hidden="false" customHeight="false" outlineLevel="0" collapsed="false">
      <c r="A16" s="5" t="s">
        <v>134</v>
      </c>
      <c r="B16" s="5" t="s">
        <v>135</v>
      </c>
      <c r="C16" s="5" t="s">
        <v>136</v>
      </c>
      <c r="D16" s="5" t="s">
        <v>137</v>
      </c>
      <c r="E16" s="5" t="s">
        <v>138</v>
      </c>
      <c r="F16" s="5" t="s">
        <v>139</v>
      </c>
      <c r="G16" s="5" t="s">
        <v>140</v>
      </c>
      <c r="H16" s="5" t="s">
        <v>141</v>
      </c>
      <c r="I16" s="5" t="s">
        <v>142</v>
      </c>
      <c r="J16" s="5" t="s">
        <v>33</v>
      </c>
      <c r="K16" s="5" t="s">
        <v>34</v>
      </c>
      <c r="L16" s="5" t="s">
        <v>35</v>
      </c>
      <c r="M16" s="5"/>
    </row>
    <row r="17" customFormat="false" ht="20.85" hidden="false" customHeight="false" outlineLevel="0" collapsed="false">
      <c r="A17" s="5" t="s">
        <v>143</v>
      </c>
      <c r="B17" s="5" t="s">
        <v>144</v>
      </c>
      <c r="C17" s="5" t="s">
        <v>145</v>
      </c>
      <c r="D17" s="5" t="s">
        <v>146</v>
      </c>
      <c r="E17" s="5" t="s">
        <v>147</v>
      </c>
      <c r="F17" s="5" t="s">
        <v>148</v>
      </c>
      <c r="G17" s="5" t="s">
        <v>149</v>
      </c>
      <c r="H17" s="5"/>
      <c r="I17" s="5"/>
      <c r="J17" s="5" t="s">
        <v>33</v>
      </c>
      <c r="K17" s="5" t="s">
        <v>34</v>
      </c>
      <c r="L17" s="5" t="s">
        <v>35</v>
      </c>
      <c r="M17" s="5"/>
    </row>
    <row r="18" customFormat="false" ht="40.25" hidden="false" customHeight="false" outlineLevel="0" collapsed="false">
      <c r="A18" s="5" t="s">
        <v>150</v>
      </c>
      <c r="B18" s="5" t="s">
        <v>151</v>
      </c>
      <c r="C18" s="5" t="s">
        <v>152</v>
      </c>
      <c r="D18" s="5" t="s">
        <v>153</v>
      </c>
      <c r="E18" s="5" t="s">
        <v>154</v>
      </c>
      <c r="F18" s="5" t="s">
        <v>155</v>
      </c>
      <c r="G18" s="5" t="s">
        <v>156</v>
      </c>
      <c r="H18" s="5" t="s">
        <v>157</v>
      </c>
      <c r="I18" s="5"/>
      <c r="J18" s="5" t="s">
        <v>158</v>
      </c>
      <c r="K18" s="5" t="s">
        <v>34</v>
      </c>
      <c r="L18" s="5" t="s">
        <v>35</v>
      </c>
      <c r="M18" s="5" t="s">
        <v>159</v>
      </c>
    </row>
    <row r="19" customFormat="false" ht="30.55" hidden="false" customHeight="false" outlineLevel="0" collapsed="false">
      <c r="A19" s="5" t="s">
        <v>160</v>
      </c>
      <c r="B19" s="5" t="s">
        <v>161</v>
      </c>
      <c r="C19" s="5" t="s">
        <v>162</v>
      </c>
      <c r="D19" s="5" t="s">
        <v>163</v>
      </c>
      <c r="E19" s="5" t="s">
        <v>164</v>
      </c>
      <c r="F19" s="5" t="s">
        <v>165</v>
      </c>
      <c r="G19" s="5" t="s">
        <v>166</v>
      </c>
      <c r="H19" s="5"/>
      <c r="I19" s="5"/>
      <c r="J19" s="5" t="s">
        <v>33</v>
      </c>
      <c r="K19" s="5" t="s">
        <v>34</v>
      </c>
      <c r="L19" s="5" t="s">
        <v>35</v>
      </c>
      <c r="M19" s="5"/>
    </row>
    <row r="20" customFormat="false" ht="20.85" hidden="false" customHeight="false" outlineLevel="0" collapsed="false">
      <c r="A20" s="5" t="s">
        <v>167</v>
      </c>
      <c r="B20" s="5" t="s">
        <v>168</v>
      </c>
      <c r="C20" s="5" t="s">
        <v>169</v>
      </c>
      <c r="D20" s="5" t="s">
        <v>170</v>
      </c>
      <c r="E20" s="5" t="s">
        <v>171</v>
      </c>
      <c r="F20" s="5" t="s">
        <v>155</v>
      </c>
      <c r="G20" s="5" t="s">
        <v>172</v>
      </c>
      <c r="H20" s="5"/>
      <c r="I20" s="5"/>
      <c r="J20" s="5" t="s">
        <v>33</v>
      </c>
      <c r="K20" s="5" t="s">
        <v>34</v>
      </c>
      <c r="L20" s="5" t="s">
        <v>35</v>
      </c>
      <c r="M20" s="5"/>
    </row>
    <row r="21" customFormat="false" ht="20.85" hidden="false" customHeight="false" outlineLevel="0" collapsed="false">
      <c r="A21" s="5" t="s">
        <v>173</v>
      </c>
      <c r="B21" s="5" t="s">
        <v>174</v>
      </c>
      <c r="C21" s="5" t="s">
        <v>175</v>
      </c>
      <c r="D21" s="5" t="s">
        <v>176</v>
      </c>
      <c r="E21" s="5" t="s">
        <v>177</v>
      </c>
      <c r="F21" s="5"/>
      <c r="G21" s="5" t="s">
        <v>178</v>
      </c>
      <c r="H21" s="5"/>
      <c r="I21" s="5"/>
      <c r="J21" s="5" t="s">
        <v>33</v>
      </c>
      <c r="K21" s="5" t="s">
        <v>34</v>
      </c>
      <c r="L21" s="5" t="s">
        <v>35</v>
      </c>
      <c r="M21" s="5"/>
    </row>
    <row r="22" customFormat="false" ht="20.85" hidden="false" customHeight="false" outlineLevel="0" collapsed="false">
      <c r="A22" s="5" t="s">
        <v>179</v>
      </c>
      <c r="B22" s="5" t="s">
        <v>180</v>
      </c>
      <c r="C22" s="5" t="s">
        <v>181</v>
      </c>
      <c r="D22" s="5" t="s">
        <v>182</v>
      </c>
      <c r="E22" s="5" t="s">
        <v>183</v>
      </c>
      <c r="F22" s="5" t="s">
        <v>184</v>
      </c>
      <c r="G22" s="5" t="s">
        <v>185</v>
      </c>
      <c r="H22" s="5" t="s">
        <v>186</v>
      </c>
      <c r="I22" s="5" t="s">
        <v>187</v>
      </c>
      <c r="J22" s="5" t="s">
        <v>33</v>
      </c>
      <c r="K22" s="5" t="s">
        <v>34</v>
      </c>
      <c r="L22" s="5" t="s">
        <v>35</v>
      </c>
      <c r="M22" s="5" t="s">
        <v>188</v>
      </c>
    </row>
    <row r="23" customFormat="false" ht="20.85" hidden="false" customHeight="false" outlineLevel="0" collapsed="false">
      <c r="A23" s="5" t="s">
        <v>189</v>
      </c>
      <c r="B23" s="5" t="s">
        <v>190</v>
      </c>
      <c r="C23" s="5" t="s">
        <v>191</v>
      </c>
      <c r="D23" s="5" t="s">
        <v>192</v>
      </c>
      <c r="E23" s="5" t="s">
        <v>193</v>
      </c>
      <c r="F23" s="5" t="s">
        <v>194</v>
      </c>
      <c r="G23" s="5" t="s">
        <v>195</v>
      </c>
      <c r="H23" s="5" t="s">
        <v>196</v>
      </c>
      <c r="I23" s="5" t="s">
        <v>187</v>
      </c>
      <c r="J23" s="5" t="s">
        <v>33</v>
      </c>
      <c r="K23" s="5" t="s">
        <v>34</v>
      </c>
      <c r="L23" s="5" t="s">
        <v>35</v>
      </c>
      <c r="M23" s="5"/>
    </row>
    <row r="24" customFormat="false" ht="20.85" hidden="false" customHeight="false" outlineLevel="0" collapsed="false">
      <c r="A24" s="5" t="s">
        <v>197</v>
      </c>
      <c r="B24" s="5" t="s">
        <v>198</v>
      </c>
      <c r="C24" s="5" t="s">
        <v>199</v>
      </c>
      <c r="D24" s="5"/>
      <c r="E24" s="5"/>
      <c r="F24" s="5"/>
      <c r="G24" s="5"/>
      <c r="H24" s="5"/>
      <c r="I24" s="5"/>
      <c r="J24" s="5"/>
      <c r="K24" s="5" t="s">
        <v>34</v>
      </c>
      <c r="L24" s="5" t="s">
        <v>35</v>
      </c>
      <c r="M24" s="5" t="s">
        <v>200</v>
      </c>
    </row>
    <row r="25" customFormat="false" ht="15" hidden="false" customHeight="false" outlineLevel="0" collapsed="false">
      <c r="A25" s="5" t="s">
        <v>201</v>
      </c>
      <c r="B25" s="5" t="s">
        <v>202</v>
      </c>
      <c r="C25" s="5" t="s">
        <v>203</v>
      </c>
      <c r="D25" s="5"/>
      <c r="E25" s="5"/>
      <c r="F25" s="5"/>
      <c r="G25" s="5"/>
      <c r="H25" s="5"/>
      <c r="I25" s="5"/>
      <c r="J25" s="5" t="s">
        <v>33</v>
      </c>
      <c r="K25" s="5" t="s">
        <v>34</v>
      </c>
      <c r="L25" s="5" t="s">
        <v>35</v>
      </c>
      <c r="M25" s="5" t="s">
        <v>204</v>
      </c>
    </row>
  </sheetData>
  <mergeCells count="1">
    <mergeCell ref="A1:M1"/>
  </mergeCells>
  <conditionalFormatting sqref="K3:K202">
    <cfRule type="cellIs" priority="2" operator="equal" aboveAverage="0" equalAverage="0" bottom="0" percent="0" rank="0" text="" dxfId="5">
      <formula>"Activo"</formula>
    </cfRule>
    <cfRule type="cellIs" priority="3" operator="equal" aboveAverage="0" equalAverage="0" bottom="0" percent="0" rank="0" text="" dxfId="6">
      <formula>"Inactivo"</formula>
    </cfRule>
  </conditionalFormatting>
  <conditionalFormatting sqref="A3:A202">
    <cfRule type="expression" priority="4" aboveAverage="0" equalAverage="0" bottom="0" percent="0" rank="0" text="" dxfId="6">
      <formula>COUNTIF($A$3:$A$202,A3)&gt;1</formula>
    </cfRule>
  </conditionalFormatting>
  <dataValidations count="1">
    <dataValidation allowBlank="true" errorStyle="stop" operator="between" showDropDown="false" showErrorMessage="false" showInputMessage="false" sqref="K3:K202" type="list">
      <formula1>"Activo,Inactivo,Suspendido"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7" min="6" style="0" width="18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205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4" t="s">
        <v>12</v>
      </c>
      <c r="B2" s="4" t="s">
        <v>206</v>
      </c>
      <c r="C2" s="4" t="s">
        <v>207</v>
      </c>
      <c r="D2" s="4" t="s">
        <v>208</v>
      </c>
      <c r="E2" s="4" t="s">
        <v>209</v>
      </c>
      <c r="F2" s="4" t="s">
        <v>210</v>
      </c>
      <c r="G2" s="4" t="s">
        <v>211</v>
      </c>
      <c r="H2" s="4" t="s">
        <v>24</v>
      </c>
      <c r="I2" s="4" t="s">
        <v>23</v>
      </c>
    </row>
    <row r="3" customFormat="false" ht="15" hidden="false" customHeight="false" outlineLevel="0" collapsed="false">
      <c r="A3" s="5" t="s">
        <v>50</v>
      </c>
      <c r="B3" s="5" t="str">
        <f aca="false">IFERROR(IF(A3="","",VLOOKUP(A3,Clientes!$A$3:$B$202,2,FALSE())),"")</f>
        <v>AJACUBA</v>
      </c>
      <c r="C3" s="5" t="s">
        <v>212</v>
      </c>
      <c r="D3" s="5"/>
      <c r="E3" s="5" t="s">
        <v>213</v>
      </c>
      <c r="F3" s="5" t="s">
        <v>214</v>
      </c>
      <c r="G3" s="5"/>
      <c r="H3" s="5" t="s">
        <v>215</v>
      </c>
      <c r="I3" s="5" t="s">
        <v>35</v>
      </c>
    </row>
    <row r="4" customFormat="false" ht="15" hidden="false" customHeight="false" outlineLevel="0" collapsed="false">
      <c r="A4" s="5" t="s">
        <v>50</v>
      </c>
      <c r="B4" s="5" t="str">
        <f aca="false">IFERROR(IF(A4="","",VLOOKUP(A4,Clientes!$A$3:$B$202,2,FALSE())),"")</f>
        <v>AJACUBA</v>
      </c>
      <c r="C4" s="5" t="s">
        <v>216</v>
      </c>
      <c r="D4" s="5"/>
      <c r="E4" s="5" t="s">
        <v>213</v>
      </c>
      <c r="F4" s="5" t="s">
        <v>217</v>
      </c>
      <c r="G4" s="5"/>
      <c r="H4" s="5" t="s">
        <v>215</v>
      </c>
      <c r="I4" s="5" t="s">
        <v>35</v>
      </c>
    </row>
    <row r="5" customFormat="false" ht="15" hidden="false" customHeight="false" outlineLevel="0" collapsed="false">
      <c r="A5" s="5" t="s">
        <v>50</v>
      </c>
      <c r="B5" s="5" t="str">
        <f aca="false">IFERROR(IF(A5="","",VLOOKUP(A5,Clientes!$A$3:$B$202,2,FALSE())),"")</f>
        <v>AJACUBA</v>
      </c>
      <c r="C5" s="5" t="s">
        <v>212</v>
      </c>
      <c r="D5" s="5" t="s">
        <v>218</v>
      </c>
      <c r="E5" s="5" t="s">
        <v>219</v>
      </c>
      <c r="F5" s="5" t="s">
        <v>220</v>
      </c>
      <c r="G5" s="5"/>
      <c r="H5" s="5"/>
      <c r="I5" s="5" t="s">
        <v>35</v>
      </c>
    </row>
    <row r="6" customFormat="false" ht="15" hidden="false" customHeight="false" outlineLevel="0" collapsed="false">
      <c r="A6" s="5" t="s">
        <v>50</v>
      </c>
      <c r="B6" s="5" t="str">
        <f aca="false">IFERROR(IF(A6="","",VLOOKUP(A6,Clientes!$A$3:$B$202,2,FALSE())),"")</f>
        <v>AJACUBA</v>
      </c>
      <c r="C6" s="5" t="s">
        <v>216</v>
      </c>
      <c r="D6" s="5" t="s">
        <v>218</v>
      </c>
      <c r="E6" s="5" t="s">
        <v>219</v>
      </c>
      <c r="F6" s="5" t="s">
        <v>221</v>
      </c>
      <c r="G6" s="5"/>
      <c r="H6" s="5"/>
      <c r="I6" s="5" t="s">
        <v>35</v>
      </c>
    </row>
    <row r="7" customFormat="false" ht="15" hidden="false" customHeight="false" outlineLevel="0" collapsed="false">
      <c r="A7" s="5" t="s">
        <v>50</v>
      </c>
      <c r="B7" s="5" t="str">
        <f aca="false">IFERROR(IF(A7="","",VLOOKUP(A7,Clientes!$A$3:$B$202,2,FALSE())),"")</f>
        <v>AJACUBA</v>
      </c>
      <c r="C7" s="5" t="s">
        <v>212</v>
      </c>
      <c r="D7" s="5"/>
      <c r="E7" s="5" t="s">
        <v>222</v>
      </c>
      <c r="F7" s="5" t="s">
        <v>223</v>
      </c>
      <c r="G7" s="5"/>
      <c r="H7" s="5"/>
      <c r="I7" s="5" t="s">
        <v>35</v>
      </c>
    </row>
    <row r="8" customFormat="false" ht="15" hidden="false" customHeight="false" outlineLevel="0" collapsed="false">
      <c r="A8" s="5" t="s">
        <v>50</v>
      </c>
      <c r="B8" s="5" t="str">
        <f aca="false">IFERROR(IF(A8="","",VLOOKUP(A8,Clientes!$A$3:$B$202,2,FALSE())),"")</f>
        <v>AJACUBA</v>
      </c>
      <c r="C8" s="5" t="s">
        <v>216</v>
      </c>
      <c r="D8" s="5"/>
      <c r="E8" s="5" t="s">
        <v>222</v>
      </c>
      <c r="F8" s="5" t="s">
        <v>224</v>
      </c>
      <c r="G8" s="5"/>
      <c r="H8" s="5"/>
      <c r="I8" s="5" t="s">
        <v>35</v>
      </c>
    </row>
    <row r="9" customFormat="false" ht="15" hidden="false" customHeight="false" outlineLevel="0" collapsed="false">
      <c r="A9" s="5" t="s">
        <v>50</v>
      </c>
      <c r="B9" s="5" t="str">
        <f aca="false">IFERROR(IF(A9="","",VLOOKUP(A9,Clientes!$A$3:$B$202,2,FALSE())),"")</f>
        <v>AJACUBA</v>
      </c>
      <c r="C9" s="5" t="s">
        <v>212</v>
      </c>
      <c r="D9" s="5"/>
      <c r="E9" s="5" t="s">
        <v>225</v>
      </c>
      <c r="F9" s="5" t="s">
        <v>226</v>
      </c>
      <c r="G9" s="5"/>
      <c r="H9" s="5"/>
      <c r="I9" s="5" t="s">
        <v>35</v>
      </c>
    </row>
    <row r="10" customFormat="false" ht="15" hidden="false" customHeight="false" outlineLevel="0" collapsed="false">
      <c r="A10" s="5" t="s">
        <v>50</v>
      </c>
      <c r="B10" s="5" t="str">
        <f aca="false">IFERROR(IF(A10="","",VLOOKUP(A10,Clientes!$A$3:$B$202,2,FALSE())),"")</f>
        <v>AJACUBA</v>
      </c>
      <c r="C10" s="5" t="s">
        <v>216</v>
      </c>
      <c r="D10" s="5"/>
      <c r="E10" s="5" t="s">
        <v>225</v>
      </c>
      <c r="F10" s="5" t="s">
        <v>227</v>
      </c>
      <c r="G10" s="5"/>
      <c r="H10" s="5"/>
      <c r="I10" s="5" t="s">
        <v>35</v>
      </c>
    </row>
    <row r="11" customFormat="false" ht="15" hidden="false" customHeight="false" outlineLevel="0" collapsed="false">
      <c r="A11" s="5" t="s">
        <v>50</v>
      </c>
      <c r="B11" s="5" t="str">
        <f aca="false">IFERROR(IF(A11="","",VLOOKUP(A11,Clientes!$A$3:$B$202,2,FALSE())),"")</f>
        <v>AJACUBA</v>
      </c>
      <c r="C11" s="5" t="s">
        <v>212</v>
      </c>
      <c r="D11" s="5" t="s">
        <v>228</v>
      </c>
      <c r="E11" s="5" t="s">
        <v>229</v>
      </c>
      <c r="F11" s="5" t="s">
        <v>230</v>
      </c>
      <c r="G11" s="5"/>
      <c r="H11" s="5"/>
      <c r="I11" s="5" t="s">
        <v>35</v>
      </c>
    </row>
    <row r="12" customFormat="false" ht="15" hidden="false" customHeight="false" outlineLevel="0" collapsed="false">
      <c r="A12" s="5" t="s">
        <v>50</v>
      </c>
      <c r="B12" s="5" t="str">
        <f aca="false">IFERROR(IF(A12="","",VLOOKUP(A12,Clientes!$A$3:$B$202,2,FALSE())),"")</f>
        <v>AJACUBA</v>
      </c>
      <c r="C12" s="5" t="s">
        <v>216</v>
      </c>
      <c r="D12" s="5" t="s">
        <v>228</v>
      </c>
      <c r="E12" s="5" t="s">
        <v>229</v>
      </c>
      <c r="F12" s="5" t="s">
        <v>231</v>
      </c>
      <c r="G12" s="5"/>
      <c r="H12" s="5"/>
      <c r="I12" s="5" t="s">
        <v>35</v>
      </c>
    </row>
    <row r="13" customFormat="false" ht="15" hidden="false" customHeight="false" outlineLevel="0" collapsed="false">
      <c r="A13" s="5" t="s">
        <v>50</v>
      </c>
      <c r="B13" s="5" t="str">
        <f aca="false">IFERROR(IF(A13="","",VLOOKUP(A13,Clientes!$A$3:$B$202,2,FALSE())),"")</f>
        <v>AJACUBA</v>
      </c>
      <c r="C13" s="5" t="s">
        <v>212</v>
      </c>
      <c r="D13" s="5"/>
      <c r="E13" s="5" t="s">
        <v>232</v>
      </c>
      <c r="F13" s="5" t="s">
        <v>233</v>
      </c>
      <c r="G13" s="5"/>
      <c r="H13" s="5"/>
      <c r="I13" s="5" t="s">
        <v>35</v>
      </c>
    </row>
    <row r="14" customFormat="false" ht="15" hidden="false" customHeight="false" outlineLevel="0" collapsed="false">
      <c r="A14" s="5" t="s">
        <v>50</v>
      </c>
      <c r="B14" s="5" t="str">
        <f aca="false">IFERROR(IF(A14="","",VLOOKUP(A14,Clientes!$A$3:$B$202,2,FALSE())),"")</f>
        <v>AJACUBA</v>
      </c>
      <c r="C14" s="5" t="s">
        <v>216</v>
      </c>
      <c r="D14" s="5"/>
      <c r="E14" s="5" t="s">
        <v>232</v>
      </c>
      <c r="F14" s="5" t="s">
        <v>234</v>
      </c>
      <c r="G14" s="5"/>
      <c r="H14" s="5"/>
      <c r="I14" s="5" t="s">
        <v>35</v>
      </c>
    </row>
    <row r="15" customFormat="false" ht="15" hidden="false" customHeight="false" outlineLevel="0" collapsed="false">
      <c r="A15" s="5" t="s">
        <v>50</v>
      </c>
      <c r="B15" s="5" t="str">
        <f aca="false">IFERROR(IF(A15="","",VLOOKUP(A15,Clientes!$A$3:$B$202,2,FALSE())),"")</f>
        <v>AJACUBA</v>
      </c>
      <c r="C15" s="5" t="s">
        <v>216</v>
      </c>
      <c r="D15" s="5"/>
      <c r="E15" s="5" t="s">
        <v>235</v>
      </c>
      <c r="F15" s="5" t="s">
        <v>236</v>
      </c>
      <c r="G15" s="5"/>
      <c r="H15" s="5"/>
      <c r="I15" s="5" t="s">
        <v>35</v>
      </c>
    </row>
    <row r="16" customFormat="false" ht="15" hidden="false" customHeight="false" outlineLevel="0" collapsed="false">
      <c r="A16" s="5" t="s">
        <v>50</v>
      </c>
      <c r="B16" s="5" t="str">
        <f aca="false">IFERROR(IF(A16="","",VLOOKUP(A16,Clientes!$A$3:$B$202,2,FALSE())),"")</f>
        <v>AJACUBA</v>
      </c>
      <c r="C16" s="5" t="s">
        <v>212</v>
      </c>
      <c r="D16" s="5"/>
      <c r="E16" s="5" t="s">
        <v>237</v>
      </c>
      <c r="F16" s="5" t="s">
        <v>238</v>
      </c>
      <c r="G16" s="5"/>
      <c r="H16" s="5" t="s">
        <v>239</v>
      </c>
      <c r="I16" s="5" t="s">
        <v>35</v>
      </c>
    </row>
    <row r="17" customFormat="false" ht="15" hidden="false" customHeight="false" outlineLevel="0" collapsed="false">
      <c r="A17" s="5" t="s">
        <v>50</v>
      </c>
      <c r="B17" s="5" t="str">
        <f aca="false">IFERROR(IF(A17="","",VLOOKUP(A17,Clientes!$A$3:$B$202,2,FALSE())),"")</f>
        <v>AJACUBA</v>
      </c>
      <c r="C17" s="5" t="s">
        <v>216</v>
      </c>
      <c r="D17" s="5"/>
      <c r="E17" s="5" t="s">
        <v>237</v>
      </c>
      <c r="F17" s="5" t="s">
        <v>221</v>
      </c>
      <c r="G17" s="5"/>
      <c r="H17" s="5" t="s">
        <v>239</v>
      </c>
      <c r="I17" s="5" t="s">
        <v>35</v>
      </c>
    </row>
    <row r="18" customFormat="false" ht="15" hidden="false" customHeight="false" outlineLevel="0" collapsed="false">
      <c r="A18" s="5" t="s">
        <v>36</v>
      </c>
      <c r="B18" s="5" t="str">
        <f aca="false">IFERROR(IF(A18="","",VLOOKUP(A18,Clientes!$A$3:$B$202,2,FALSE())),"")</f>
        <v>ACTOPAN AGUA</v>
      </c>
      <c r="C18" s="5" t="s">
        <v>212</v>
      </c>
      <c r="D18" s="5"/>
      <c r="E18" s="5" t="s">
        <v>240</v>
      </c>
      <c r="F18" s="5" t="s">
        <v>241</v>
      </c>
      <c r="G18" s="5"/>
      <c r="H18" s="5" t="s">
        <v>242</v>
      </c>
      <c r="I18" s="5" t="s">
        <v>35</v>
      </c>
    </row>
    <row r="19" customFormat="false" ht="15" hidden="false" customHeight="false" outlineLevel="0" collapsed="false">
      <c r="A19" s="5" t="s">
        <v>36</v>
      </c>
      <c r="B19" s="5" t="str">
        <f aca="false">IFERROR(IF(A19="","",VLOOKUP(A19,Clientes!$A$3:$B$202,2,FALSE())),"")</f>
        <v>ACTOPAN AGUA</v>
      </c>
      <c r="C19" s="5" t="s">
        <v>216</v>
      </c>
      <c r="D19" s="5"/>
      <c r="E19" s="5" t="s">
        <v>240</v>
      </c>
      <c r="F19" s="5" t="s">
        <v>243</v>
      </c>
      <c r="G19" s="5"/>
      <c r="H19" s="5" t="s">
        <v>242</v>
      </c>
      <c r="I19" s="5" t="s">
        <v>35</v>
      </c>
    </row>
    <row r="20" customFormat="false" ht="15" hidden="false" customHeight="false" outlineLevel="0" collapsed="false">
      <c r="A20" s="5" t="s">
        <v>36</v>
      </c>
      <c r="B20" s="5" t="str">
        <f aca="false">IFERROR(IF(A20="","",VLOOKUP(A20,Clientes!$A$3:$B$202,2,FALSE())),"")</f>
        <v>ACTOPAN AGUA</v>
      </c>
      <c r="C20" s="5" t="s">
        <v>212</v>
      </c>
      <c r="D20" s="5" t="s">
        <v>244</v>
      </c>
      <c r="E20" s="5" t="s">
        <v>244</v>
      </c>
      <c r="F20" s="5" t="s">
        <v>245</v>
      </c>
      <c r="G20" s="5"/>
      <c r="H20" s="5" t="s">
        <v>239</v>
      </c>
      <c r="I20" s="5" t="s">
        <v>35</v>
      </c>
    </row>
    <row r="21" customFormat="false" ht="15" hidden="false" customHeight="false" outlineLevel="0" collapsed="false">
      <c r="A21" s="5" t="s">
        <v>36</v>
      </c>
      <c r="B21" s="5" t="str">
        <f aca="false">IFERROR(IF(A21="","",VLOOKUP(A21,Clientes!$A$3:$B$202,2,FALSE())),"")</f>
        <v>ACTOPAN AGUA</v>
      </c>
      <c r="C21" s="5" t="s">
        <v>216</v>
      </c>
      <c r="D21" s="5" t="s">
        <v>244</v>
      </c>
      <c r="E21" s="5" t="s">
        <v>244</v>
      </c>
      <c r="F21" s="5" t="s">
        <v>246</v>
      </c>
      <c r="G21" s="5"/>
      <c r="H21" s="5" t="s">
        <v>239</v>
      </c>
      <c r="I21" s="5" t="s">
        <v>35</v>
      </c>
    </row>
    <row r="22" customFormat="false" ht="15" hidden="false" customHeight="false" outlineLevel="0" collapsed="false">
      <c r="A22" s="5" t="s">
        <v>36</v>
      </c>
      <c r="B22" s="5" t="str">
        <f aca="false">IFERROR(IF(A22="","",VLOOKUP(A22,Clientes!$A$3:$B$202,2,FALSE())),"")</f>
        <v>ACTOPAN AGUA</v>
      </c>
      <c r="C22" s="5" t="s">
        <v>212</v>
      </c>
      <c r="D22" s="5"/>
      <c r="E22" s="5" t="s">
        <v>247</v>
      </c>
      <c r="F22" s="5" t="s">
        <v>248</v>
      </c>
      <c r="G22" s="5"/>
      <c r="H22" s="5" t="s">
        <v>249</v>
      </c>
      <c r="I22" s="5" t="s">
        <v>35</v>
      </c>
    </row>
    <row r="23" customFormat="false" ht="15" hidden="false" customHeight="false" outlineLevel="0" collapsed="false">
      <c r="A23" s="5" t="s">
        <v>36</v>
      </c>
      <c r="B23" s="5" t="str">
        <f aca="false">IFERROR(IF(A23="","",VLOOKUP(A23,Clientes!$A$3:$B$202,2,FALSE())),"")</f>
        <v>ACTOPAN AGUA</v>
      </c>
      <c r="C23" s="5" t="s">
        <v>216</v>
      </c>
      <c r="D23" s="5"/>
      <c r="E23" s="5" t="s">
        <v>247</v>
      </c>
      <c r="F23" s="5" t="s">
        <v>250</v>
      </c>
      <c r="G23" s="5"/>
      <c r="H23" s="5" t="s">
        <v>249</v>
      </c>
      <c r="I23" s="5" t="s">
        <v>35</v>
      </c>
    </row>
    <row r="24" customFormat="false" ht="15" hidden="false" customHeight="false" outlineLevel="0" collapsed="false">
      <c r="A24" s="5" t="s">
        <v>36</v>
      </c>
      <c r="B24" s="5" t="str">
        <f aca="false">IFERROR(IF(A24="","",VLOOKUP(A24,Clientes!$A$3:$B$202,2,FALSE())),"")</f>
        <v>ACTOPAN AGUA</v>
      </c>
      <c r="C24" s="5" t="s">
        <v>212</v>
      </c>
      <c r="D24" s="5"/>
      <c r="E24" s="5" t="s">
        <v>251</v>
      </c>
      <c r="F24" s="5" t="s">
        <v>252</v>
      </c>
      <c r="G24" s="5"/>
      <c r="H24" s="5"/>
      <c r="I24" s="5" t="s">
        <v>35</v>
      </c>
    </row>
    <row r="25" customFormat="false" ht="15" hidden="false" customHeight="false" outlineLevel="0" collapsed="false">
      <c r="A25" s="5" t="s">
        <v>36</v>
      </c>
      <c r="B25" s="5" t="str">
        <f aca="false">IFERROR(IF(A25="","",VLOOKUP(A25,Clientes!$A$3:$B$202,2,FALSE())),"")</f>
        <v>ACTOPAN AGUA</v>
      </c>
      <c r="C25" s="5" t="s">
        <v>216</v>
      </c>
      <c r="D25" s="5"/>
      <c r="E25" s="5" t="s">
        <v>251</v>
      </c>
      <c r="F25" s="5" t="s">
        <v>253</v>
      </c>
      <c r="G25" s="5"/>
      <c r="H25" s="5"/>
      <c r="I25" s="5" t="s">
        <v>35</v>
      </c>
    </row>
    <row r="26" customFormat="false" ht="15" hidden="false" customHeight="false" outlineLevel="0" collapsed="false">
      <c r="A26" s="5" t="s">
        <v>36</v>
      </c>
      <c r="B26" s="5" t="str">
        <f aca="false">IFERROR(IF(A26="","",VLOOKUP(A26,Clientes!$A$3:$B$202,2,FALSE())),"")</f>
        <v>ACTOPAN AGUA</v>
      </c>
      <c r="C26" s="5" t="s">
        <v>212</v>
      </c>
      <c r="D26" s="5"/>
      <c r="E26" s="5" t="s">
        <v>254</v>
      </c>
      <c r="F26" s="5" t="s">
        <v>255</v>
      </c>
      <c r="G26" s="5"/>
      <c r="H26" s="5" t="s">
        <v>256</v>
      </c>
      <c r="I26" s="5" t="s">
        <v>35</v>
      </c>
    </row>
    <row r="27" customFormat="false" ht="15" hidden="false" customHeight="false" outlineLevel="0" collapsed="false">
      <c r="A27" s="5" t="s">
        <v>36</v>
      </c>
      <c r="B27" s="5" t="str">
        <f aca="false">IFERROR(IF(A27="","",VLOOKUP(A27,Clientes!$A$3:$B$202,2,FALSE())),"")</f>
        <v>ACTOPAN AGUA</v>
      </c>
      <c r="C27" s="5" t="s">
        <v>216</v>
      </c>
      <c r="D27" s="5"/>
      <c r="E27" s="5" t="s">
        <v>254</v>
      </c>
      <c r="F27" s="5" t="s">
        <v>257</v>
      </c>
      <c r="G27" s="5"/>
      <c r="H27" s="5" t="s">
        <v>256</v>
      </c>
      <c r="I27" s="5" t="s">
        <v>35</v>
      </c>
    </row>
    <row r="28" customFormat="false" ht="15" hidden="false" customHeight="false" outlineLevel="0" collapsed="false">
      <c r="A28" s="5" t="s">
        <v>36</v>
      </c>
      <c r="B28" s="5" t="str">
        <f aca="false">IFERROR(IF(A28="","",VLOOKUP(A28,Clientes!$A$3:$B$202,2,FALSE())),"")</f>
        <v>ACTOPAN AGUA</v>
      </c>
      <c r="C28" s="5" t="s">
        <v>212</v>
      </c>
      <c r="D28" s="5"/>
      <c r="E28" s="5" t="s">
        <v>258</v>
      </c>
      <c r="F28" s="5" t="s">
        <v>259</v>
      </c>
      <c r="G28" s="5"/>
      <c r="H28" s="5"/>
      <c r="I28" s="5" t="s">
        <v>35</v>
      </c>
    </row>
    <row r="29" customFormat="false" ht="15" hidden="false" customHeight="false" outlineLevel="0" collapsed="false">
      <c r="A29" s="5" t="s">
        <v>36</v>
      </c>
      <c r="B29" s="5" t="str">
        <f aca="false">IFERROR(IF(A29="","",VLOOKUP(A29,Clientes!$A$3:$B$202,2,FALSE())),"")</f>
        <v>ACTOPAN AGUA</v>
      </c>
      <c r="C29" s="5" t="s">
        <v>216</v>
      </c>
      <c r="D29" s="5"/>
      <c r="E29" s="5" t="s">
        <v>258</v>
      </c>
      <c r="F29" s="5" t="s">
        <v>260</v>
      </c>
      <c r="G29" s="5"/>
      <c r="H29" s="5"/>
      <c r="I29" s="5" t="s">
        <v>35</v>
      </c>
    </row>
    <row r="30" customFormat="false" ht="15" hidden="false" customHeight="false" outlineLevel="0" collapsed="false">
      <c r="A30" s="5" t="s">
        <v>36</v>
      </c>
      <c r="B30" s="5" t="str">
        <f aca="false">IFERROR(IF(A30="","",VLOOKUP(A30,Clientes!$A$3:$B$202,2,FALSE())),"")</f>
        <v>ACTOPAN AGUA</v>
      </c>
      <c r="C30" s="5" t="s">
        <v>212</v>
      </c>
      <c r="D30" s="5" t="s">
        <v>261</v>
      </c>
      <c r="E30" s="5" t="s">
        <v>262</v>
      </c>
      <c r="F30" s="5" t="s">
        <v>263</v>
      </c>
      <c r="G30" s="5"/>
      <c r="H30" s="5" t="s">
        <v>264</v>
      </c>
      <c r="I30" s="5" t="s">
        <v>35</v>
      </c>
    </row>
    <row r="31" customFormat="false" ht="15" hidden="false" customHeight="false" outlineLevel="0" collapsed="false">
      <c r="A31" s="5" t="s">
        <v>36</v>
      </c>
      <c r="B31" s="5" t="str">
        <f aca="false">IFERROR(IF(A31="","",VLOOKUP(A31,Clientes!$A$3:$B$202,2,FALSE())),"")</f>
        <v>ACTOPAN AGUA</v>
      </c>
      <c r="C31" s="5" t="s">
        <v>216</v>
      </c>
      <c r="D31" s="5" t="s">
        <v>261</v>
      </c>
      <c r="E31" s="5" t="s">
        <v>262</v>
      </c>
      <c r="F31" s="5" t="s">
        <v>265</v>
      </c>
      <c r="G31" s="5"/>
      <c r="H31" s="5" t="s">
        <v>264</v>
      </c>
      <c r="I31" s="5" t="s">
        <v>35</v>
      </c>
    </row>
    <row r="32" customFormat="false" ht="15" hidden="false" customHeight="false" outlineLevel="0" collapsed="false">
      <c r="A32" s="5" t="s">
        <v>36</v>
      </c>
      <c r="B32" s="5" t="str">
        <f aca="false">IFERROR(IF(A32="","",VLOOKUP(A32,Clientes!$A$3:$B$202,2,FALSE())),"")</f>
        <v>ACTOPAN AGUA</v>
      </c>
      <c r="C32" s="5" t="s">
        <v>212</v>
      </c>
      <c r="D32" s="5"/>
      <c r="E32" s="5" t="s">
        <v>266</v>
      </c>
      <c r="F32" s="5" t="s">
        <v>267</v>
      </c>
      <c r="G32" s="5"/>
      <c r="H32" s="5"/>
      <c r="I32" s="5" t="s">
        <v>35</v>
      </c>
    </row>
    <row r="33" customFormat="false" ht="15" hidden="false" customHeight="false" outlineLevel="0" collapsed="false">
      <c r="A33" s="5" t="s">
        <v>36</v>
      </c>
      <c r="B33" s="5" t="str">
        <f aca="false">IFERROR(IF(A33="","",VLOOKUP(A33,Clientes!$A$3:$B$202,2,FALSE())),"")</f>
        <v>ACTOPAN AGUA</v>
      </c>
      <c r="C33" s="5" t="s">
        <v>216</v>
      </c>
      <c r="D33" s="5"/>
      <c r="E33" s="5" t="s">
        <v>266</v>
      </c>
      <c r="F33" s="5" t="s">
        <v>268</v>
      </c>
      <c r="G33" s="5"/>
      <c r="H33" s="5"/>
      <c r="I33" s="5" t="s">
        <v>35</v>
      </c>
    </row>
    <row r="34" customFormat="false" ht="15" hidden="false" customHeight="false" outlineLevel="0" collapsed="false">
      <c r="A34" s="5" t="s">
        <v>36</v>
      </c>
      <c r="B34" s="5" t="str">
        <f aca="false">IFERROR(IF(A34="","",VLOOKUP(A34,Clientes!$A$3:$B$202,2,FALSE())),"")</f>
        <v>ACTOPAN AGUA</v>
      </c>
      <c r="C34" s="5" t="s">
        <v>212</v>
      </c>
      <c r="D34" s="5"/>
      <c r="E34" s="5" t="s">
        <v>269</v>
      </c>
      <c r="F34" s="5" t="s">
        <v>270</v>
      </c>
      <c r="G34" s="5"/>
      <c r="H34" s="5"/>
      <c r="I34" s="5" t="s">
        <v>35</v>
      </c>
    </row>
    <row r="35" customFormat="false" ht="15" hidden="false" customHeight="false" outlineLevel="0" collapsed="false">
      <c r="A35" s="5" t="s">
        <v>36</v>
      </c>
      <c r="B35" s="5" t="str">
        <f aca="false">IFERROR(IF(A35="","",VLOOKUP(A35,Clientes!$A$3:$B$202,2,FALSE())),"")</f>
        <v>ACTOPAN AGUA</v>
      </c>
      <c r="C35" s="5" t="s">
        <v>216</v>
      </c>
      <c r="D35" s="5"/>
      <c r="E35" s="5" t="s">
        <v>269</v>
      </c>
      <c r="F35" s="5" t="s">
        <v>271</v>
      </c>
      <c r="G35" s="5"/>
      <c r="H35" s="5"/>
      <c r="I35" s="5" t="s">
        <v>35</v>
      </c>
    </row>
    <row r="36" customFormat="false" ht="15" hidden="false" customHeight="false" outlineLevel="0" collapsed="false">
      <c r="A36" s="5" t="s">
        <v>36</v>
      </c>
      <c r="B36" s="5" t="str">
        <f aca="false">IFERROR(IF(A36="","",VLOOKUP(A36,Clientes!$A$3:$B$202,2,FALSE())),"")</f>
        <v>ACTOPAN AGUA</v>
      </c>
      <c r="C36" s="5" t="s">
        <v>212</v>
      </c>
      <c r="D36" s="5"/>
      <c r="E36" s="5" t="s">
        <v>272</v>
      </c>
      <c r="F36" s="5" t="s">
        <v>273</v>
      </c>
      <c r="G36" s="5"/>
      <c r="H36" s="5"/>
      <c r="I36" s="5" t="s">
        <v>35</v>
      </c>
    </row>
    <row r="37" customFormat="false" ht="15" hidden="false" customHeight="false" outlineLevel="0" collapsed="false">
      <c r="A37" s="5" t="s">
        <v>36</v>
      </c>
      <c r="B37" s="5" t="str">
        <f aca="false">IFERROR(IF(A37="","",VLOOKUP(A37,Clientes!$A$3:$B$202,2,FALSE())),"")</f>
        <v>ACTOPAN AGUA</v>
      </c>
      <c r="C37" s="5" t="s">
        <v>216</v>
      </c>
      <c r="D37" s="5"/>
      <c r="E37" s="5" t="s">
        <v>272</v>
      </c>
      <c r="F37" s="5" t="s">
        <v>274</v>
      </c>
      <c r="G37" s="5"/>
      <c r="H37" s="5"/>
      <c r="I37" s="5" t="s">
        <v>35</v>
      </c>
    </row>
    <row r="38" customFormat="false" ht="15" hidden="false" customHeight="false" outlineLevel="0" collapsed="false">
      <c r="A38" s="5" t="s">
        <v>36</v>
      </c>
      <c r="B38" s="5" t="str">
        <f aca="false">IFERROR(IF(A38="","",VLOOKUP(A38,Clientes!$A$3:$B$202,2,FALSE())),"")</f>
        <v>ACTOPAN AGUA</v>
      </c>
      <c r="C38" s="5" t="s">
        <v>275</v>
      </c>
      <c r="D38" s="5"/>
      <c r="E38" s="5"/>
      <c r="F38" s="5"/>
      <c r="G38" s="5"/>
      <c r="H38" s="5" t="s">
        <v>276</v>
      </c>
      <c r="I38" s="5" t="s">
        <v>35</v>
      </c>
    </row>
    <row r="39" customFormat="false" ht="15" hidden="false" customHeight="false" outlineLevel="0" collapsed="false">
      <c r="A39" s="5" t="s">
        <v>36</v>
      </c>
      <c r="B39" s="5" t="str">
        <f aca="false">IFERROR(IF(A39="","",VLOOKUP(A39,Clientes!$A$3:$B$202,2,FALSE())),"")</f>
        <v>ACTOPAN AGUA</v>
      </c>
      <c r="C39" s="5" t="s">
        <v>212</v>
      </c>
      <c r="D39" s="5"/>
      <c r="E39" s="5" t="s">
        <v>277</v>
      </c>
      <c r="F39" s="5" t="s">
        <v>278</v>
      </c>
      <c r="G39" s="5"/>
      <c r="H39" s="5"/>
      <c r="I39" s="5" t="s">
        <v>35</v>
      </c>
    </row>
    <row r="40" customFormat="false" ht="15" hidden="false" customHeight="false" outlineLevel="0" collapsed="false">
      <c r="A40" s="5" t="s">
        <v>36</v>
      </c>
      <c r="B40" s="5" t="str">
        <f aca="false">IFERROR(IF(A40="","",VLOOKUP(A40,Clientes!$A$3:$B$202,2,FALSE())),"")</f>
        <v>ACTOPAN AGUA</v>
      </c>
      <c r="C40" s="5" t="s">
        <v>216</v>
      </c>
      <c r="D40" s="5"/>
      <c r="E40" s="5" t="s">
        <v>277</v>
      </c>
      <c r="F40" s="5" t="s">
        <v>279</v>
      </c>
      <c r="G40" s="5"/>
      <c r="H40" s="5"/>
      <c r="I40" s="5" t="s">
        <v>35</v>
      </c>
    </row>
    <row r="41" customFormat="false" ht="15" hidden="false" customHeight="false" outlineLevel="0" collapsed="false">
      <c r="A41" s="5" t="s">
        <v>36</v>
      </c>
      <c r="B41" s="5" t="str">
        <f aca="false">IFERROR(IF(A41="","",VLOOKUP(A41,Clientes!$A$3:$B$202,2,FALSE())),"")</f>
        <v>ACTOPAN AGUA</v>
      </c>
      <c r="C41" s="5" t="s">
        <v>216</v>
      </c>
      <c r="D41" s="5" t="s">
        <v>280</v>
      </c>
      <c r="E41" s="5" t="s">
        <v>281</v>
      </c>
      <c r="F41" s="5" t="s">
        <v>282</v>
      </c>
      <c r="G41" s="5"/>
      <c r="H41" s="5"/>
      <c r="I41" s="5" t="s">
        <v>35</v>
      </c>
    </row>
    <row r="42" customFormat="false" ht="15" hidden="false" customHeight="false" outlineLevel="0" collapsed="false">
      <c r="A42" s="5" t="s">
        <v>36</v>
      </c>
      <c r="B42" s="5" t="str">
        <f aca="false">IFERROR(IF(A42="","",VLOOKUP(A42,Clientes!$A$3:$B$202,2,FALSE())),"")</f>
        <v>ACTOPAN AGUA</v>
      </c>
      <c r="C42" s="5" t="s">
        <v>216</v>
      </c>
      <c r="D42" s="5" t="s">
        <v>283</v>
      </c>
      <c r="E42" s="5" t="s">
        <v>284</v>
      </c>
      <c r="F42" s="5" t="s">
        <v>285</v>
      </c>
      <c r="G42" s="5"/>
      <c r="H42" s="5"/>
      <c r="I42" s="5" t="s">
        <v>35</v>
      </c>
    </row>
    <row r="43" customFormat="false" ht="15" hidden="false" customHeight="false" outlineLevel="0" collapsed="false">
      <c r="A43" s="5" t="s">
        <v>36</v>
      </c>
      <c r="B43" s="5" t="str">
        <f aca="false">IFERROR(IF(A43="","",VLOOKUP(A43,Clientes!$A$3:$B$202,2,FALSE())),"")</f>
        <v>ACTOPAN AGUA</v>
      </c>
      <c r="C43" s="5" t="s">
        <v>216</v>
      </c>
      <c r="D43" s="5"/>
      <c r="E43" s="5" t="s">
        <v>286</v>
      </c>
      <c r="F43" s="5" t="s">
        <v>287</v>
      </c>
      <c r="G43" s="5"/>
      <c r="H43" s="5"/>
      <c r="I43" s="5" t="s">
        <v>35</v>
      </c>
    </row>
    <row r="44" customFormat="false" ht="40.25" hidden="false" customHeight="false" outlineLevel="0" collapsed="false">
      <c r="A44" s="5" t="s">
        <v>43</v>
      </c>
      <c r="B44" s="5" t="str">
        <f aca="false">IFERROR(IF(A44="","",VLOOKUP(A44,Clientes!$A$3:$B$202,2,FALSE())),"")</f>
        <v>ACTOPAN PRESIDENCIA</v>
      </c>
      <c r="C44" s="5" t="s">
        <v>212</v>
      </c>
      <c r="D44" s="5"/>
      <c r="E44" s="5" t="s">
        <v>288</v>
      </c>
      <c r="F44" s="5" t="s">
        <v>289</v>
      </c>
      <c r="G44" s="5"/>
      <c r="H44" s="5" t="s">
        <v>290</v>
      </c>
      <c r="I44" s="5" t="s">
        <v>35</v>
      </c>
    </row>
    <row r="45" customFormat="false" ht="40.25" hidden="false" customHeight="false" outlineLevel="0" collapsed="false">
      <c r="A45" s="5" t="s">
        <v>43</v>
      </c>
      <c r="B45" s="5" t="str">
        <f aca="false">IFERROR(IF(A45="","",VLOOKUP(A45,Clientes!$A$3:$B$202,2,FALSE())),"")</f>
        <v>ACTOPAN PRESIDENCIA</v>
      </c>
      <c r="C45" s="5" t="s">
        <v>216</v>
      </c>
      <c r="D45" s="5"/>
      <c r="E45" s="5" t="s">
        <v>288</v>
      </c>
      <c r="F45" s="5" t="s">
        <v>291</v>
      </c>
      <c r="G45" s="5"/>
      <c r="H45" s="5" t="s">
        <v>290</v>
      </c>
      <c r="I45" s="5" t="s">
        <v>35</v>
      </c>
    </row>
    <row r="46" customFormat="false" ht="15" hidden="false" customHeight="false" outlineLevel="0" collapsed="false">
      <c r="A46" s="5" t="s">
        <v>43</v>
      </c>
      <c r="B46" s="5" t="str">
        <f aca="false">IFERROR(IF(A46="","",VLOOKUP(A46,Clientes!$A$3:$B$202,2,FALSE())),"")</f>
        <v>ACTOPAN PRESIDENCIA</v>
      </c>
      <c r="C46" s="5" t="s">
        <v>212</v>
      </c>
      <c r="D46" s="5"/>
      <c r="E46" s="5" t="s">
        <v>292</v>
      </c>
      <c r="F46" s="5" t="s">
        <v>293</v>
      </c>
      <c r="G46" s="5"/>
      <c r="H46" s="5"/>
      <c r="I46" s="5" t="s">
        <v>35</v>
      </c>
    </row>
    <row r="47" customFormat="false" ht="20.85" hidden="false" customHeight="false" outlineLevel="0" collapsed="false">
      <c r="A47" s="5" t="s">
        <v>43</v>
      </c>
      <c r="B47" s="5" t="str">
        <f aca="false">IFERROR(IF(A47="","",VLOOKUP(A47,Clientes!$A$3:$B$202,2,FALSE())),"")</f>
        <v>ACTOPAN PRESIDENCIA</v>
      </c>
      <c r="C47" s="5" t="s">
        <v>216</v>
      </c>
      <c r="D47" s="5"/>
      <c r="E47" s="5" t="s">
        <v>294</v>
      </c>
      <c r="F47" s="5" t="s">
        <v>295</v>
      </c>
      <c r="G47" s="5" t="s">
        <v>296</v>
      </c>
      <c r="H47" s="5"/>
      <c r="I47" s="5" t="s">
        <v>35</v>
      </c>
    </row>
    <row r="48" customFormat="false" ht="15" hidden="false" customHeight="false" outlineLevel="0" collapsed="false">
      <c r="A48" s="5" t="s">
        <v>43</v>
      </c>
      <c r="B48" s="5" t="str">
        <f aca="false">IFERROR(IF(A48="","",VLOOKUP(A48,Clientes!$A$3:$B$202,2,FALSE())),"")</f>
        <v>ACTOPAN PRESIDENCIA</v>
      </c>
      <c r="C48" s="5" t="s">
        <v>212</v>
      </c>
      <c r="D48" s="5"/>
      <c r="E48" s="5"/>
      <c r="F48" s="5" t="s">
        <v>297</v>
      </c>
      <c r="G48" s="5"/>
      <c r="H48" s="5"/>
      <c r="I48" s="5" t="s">
        <v>35</v>
      </c>
    </row>
    <row r="49" customFormat="false" ht="15" hidden="false" customHeight="false" outlineLevel="0" collapsed="false">
      <c r="A49" s="5" t="s">
        <v>43</v>
      </c>
      <c r="B49" s="5" t="str">
        <f aca="false">IFERROR(IF(A49="","",VLOOKUP(A49,Clientes!$A$3:$B$202,2,FALSE())),"")</f>
        <v>ACTOPAN PRESIDENCIA</v>
      </c>
      <c r="C49" s="5" t="s">
        <v>216</v>
      </c>
      <c r="D49" s="5"/>
      <c r="E49" s="5"/>
      <c r="F49" s="5" t="s">
        <v>298</v>
      </c>
      <c r="G49" s="5"/>
      <c r="H49" s="5"/>
      <c r="I49" s="5" t="s">
        <v>35</v>
      </c>
    </row>
    <row r="50" customFormat="false" ht="15" hidden="false" customHeight="false" outlineLevel="0" collapsed="false">
      <c r="A50" s="5" t="s">
        <v>160</v>
      </c>
      <c r="B50" s="5" t="str">
        <f aca="false">IFERROR(IF(A50="","",VLOOKUP(A50,Clientes!$A$3:$B$202,2,FALSE())),"")</f>
        <v>PROGRESO</v>
      </c>
      <c r="C50" s="5" t="s">
        <v>212</v>
      </c>
      <c r="D50" s="5"/>
      <c r="E50" s="5" t="s">
        <v>213</v>
      </c>
      <c r="F50" s="5" t="s">
        <v>299</v>
      </c>
      <c r="G50" s="5"/>
      <c r="H50" s="5" t="s">
        <v>300</v>
      </c>
      <c r="I50" s="5" t="s">
        <v>35</v>
      </c>
    </row>
    <row r="51" customFormat="false" ht="15" hidden="false" customHeight="false" outlineLevel="0" collapsed="false">
      <c r="A51" s="5" t="s">
        <v>160</v>
      </c>
      <c r="B51" s="5" t="str">
        <f aca="false">IFERROR(IF(A51="","",VLOOKUP(A51,Clientes!$A$3:$B$202,2,FALSE())),"")</f>
        <v>PROGRESO</v>
      </c>
      <c r="C51" s="5" t="s">
        <v>216</v>
      </c>
      <c r="D51" s="5"/>
      <c r="E51" s="5" t="s">
        <v>213</v>
      </c>
      <c r="F51" s="5" t="s">
        <v>301</v>
      </c>
      <c r="G51" s="5"/>
      <c r="H51" s="5" t="s">
        <v>300</v>
      </c>
      <c r="I51" s="5" t="s">
        <v>35</v>
      </c>
    </row>
    <row r="52" customFormat="false" ht="15" hidden="false" customHeight="false" outlineLevel="0" collapsed="false">
      <c r="A52" s="5" t="s">
        <v>160</v>
      </c>
      <c r="B52" s="5" t="str">
        <f aca="false">IFERROR(IF(A52="","",VLOOKUP(A52,Clientes!$A$3:$B$202,2,FALSE())),"")</f>
        <v>PROGRESO</v>
      </c>
      <c r="C52" s="5" t="s">
        <v>212</v>
      </c>
      <c r="D52" s="5"/>
      <c r="E52" s="5"/>
      <c r="F52" s="5" t="s">
        <v>302</v>
      </c>
      <c r="G52" s="5"/>
      <c r="H52" s="5"/>
      <c r="I52" s="5" t="s">
        <v>35</v>
      </c>
    </row>
    <row r="53" customFormat="false" ht="15" hidden="false" customHeight="false" outlineLevel="0" collapsed="false">
      <c r="A53" s="5" t="s">
        <v>160</v>
      </c>
      <c r="B53" s="5" t="str">
        <f aca="false">IFERROR(IF(A53="","",VLOOKUP(A53,Clientes!$A$3:$B$202,2,FALSE())),"")</f>
        <v>PROGRESO</v>
      </c>
      <c r="C53" s="5" t="s">
        <v>212</v>
      </c>
      <c r="D53" s="5"/>
      <c r="E53" s="5" t="s">
        <v>303</v>
      </c>
      <c r="F53" s="5" t="s">
        <v>304</v>
      </c>
      <c r="G53" s="5"/>
      <c r="H53" s="5"/>
      <c r="I53" s="5" t="s">
        <v>35</v>
      </c>
    </row>
    <row r="54" customFormat="false" ht="15" hidden="false" customHeight="false" outlineLevel="0" collapsed="false">
      <c r="A54" s="5" t="s">
        <v>160</v>
      </c>
      <c r="B54" s="5" t="str">
        <f aca="false">IFERROR(IF(A54="","",VLOOKUP(A54,Clientes!$A$3:$B$202,2,FALSE())),"")</f>
        <v>PROGRESO</v>
      </c>
      <c r="C54" s="5" t="s">
        <v>216</v>
      </c>
      <c r="D54" s="5"/>
      <c r="E54" s="5" t="s">
        <v>303</v>
      </c>
      <c r="F54" s="5" t="s">
        <v>305</v>
      </c>
      <c r="G54" s="5"/>
      <c r="H54" s="5"/>
      <c r="I54" s="5" t="s">
        <v>35</v>
      </c>
    </row>
    <row r="55" customFormat="false" ht="15" hidden="false" customHeight="false" outlineLevel="0" collapsed="false">
      <c r="A55" s="5" t="s">
        <v>160</v>
      </c>
      <c r="B55" s="5" t="str">
        <f aca="false">IFERROR(IF(A55="","",VLOOKUP(A55,Clientes!$A$3:$B$202,2,FALSE())),"")</f>
        <v>PROGRESO</v>
      </c>
      <c r="C55" s="5" t="s">
        <v>212</v>
      </c>
      <c r="D55" s="5"/>
      <c r="E55" s="5" t="s">
        <v>306</v>
      </c>
      <c r="F55" s="5" t="s">
        <v>307</v>
      </c>
      <c r="G55" s="5"/>
      <c r="H55" s="5"/>
      <c r="I55" s="5" t="s">
        <v>35</v>
      </c>
    </row>
    <row r="56" customFormat="false" ht="15" hidden="false" customHeight="false" outlineLevel="0" collapsed="false">
      <c r="A56" s="5" t="s">
        <v>160</v>
      </c>
      <c r="B56" s="5" t="str">
        <f aca="false">IFERROR(IF(A56="","",VLOOKUP(A56,Clientes!$A$3:$B$202,2,FALSE())),"")</f>
        <v>PROGRESO</v>
      </c>
      <c r="C56" s="5" t="s">
        <v>216</v>
      </c>
      <c r="D56" s="5"/>
      <c r="E56" s="5" t="s">
        <v>306</v>
      </c>
      <c r="F56" s="5" t="s">
        <v>308</v>
      </c>
      <c r="G56" s="5"/>
      <c r="H56" s="5"/>
      <c r="I56" s="5" t="s">
        <v>35</v>
      </c>
    </row>
    <row r="57" customFormat="false" ht="15" hidden="false" customHeight="false" outlineLevel="0" collapsed="false">
      <c r="A57" s="5" t="s">
        <v>160</v>
      </c>
      <c r="B57" s="5" t="str">
        <f aca="false">IFERROR(IF(A57="","",VLOOKUP(A57,Clientes!$A$3:$B$202,2,FALSE())),"")</f>
        <v>PROGRESO</v>
      </c>
      <c r="C57" s="5" t="s">
        <v>212</v>
      </c>
      <c r="D57" s="5"/>
      <c r="E57" s="5"/>
      <c r="F57" s="5" t="s">
        <v>309</v>
      </c>
      <c r="G57" s="5"/>
      <c r="H57" s="5"/>
      <c r="I57" s="5" t="s">
        <v>35</v>
      </c>
    </row>
    <row r="58" customFormat="false" ht="15" hidden="false" customHeight="false" outlineLevel="0" collapsed="false">
      <c r="A58" s="5" t="s">
        <v>160</v>
      </c>
      <c r="B58" s="5" t="str">
        <f aca="false">IFERROR(IF(A58="","",VLOOKUP(A58,Clientes!$A$3:$B$202,2,FALSE())),"")</f>
        <v>PROGRESO</v>
      </c>
      <c r="C58" s="5" t="s">
        <v>216</v>
      </c>
      <c r="D58" s="5"/>
      <c r="E58" s="5"/>
      <c r="F58" s="5" t="s">
        <v>310</v>
      </c>
      <c r="G58" s="5"/>
      <c r="H58" s="5"/>
      <c r="I58" s="5" t="s">
        <v>35</v>
      </c>
    </row>
    <row r="59" customFormat="false" ht="15" hidden="false" customHeight="false" outlineLevel="0" collapsed="false">
      <c r="A59" s="5" t="s">
        <v>160</v>
      </c>
      <c r="B59" s="5" t="str">
        <f aca="false">IFERROR(IF(A59="","",VLOOKUP(A59,Clientes!$A$3:$B$202,2,FALSE())),"")</f>
        <v>PROGRESO</v>
      </c>
      <c r="C59" s="5" t="s">
        <v>212</v>
      </c>
      <c r="D59" s="5"/>
      <c r="E59" s="5" t="s">
        <v>311</v>
      </c>
      <c r="F59" s="5" t="s">
        <v>312</v>
      </c>
      <c r="G59" s="5"/>
      <c r="H59" s="5"/>
      <c r="I59" s="5" t="s">
        <v>35</v>
      </c>
    </row>
    <row r="60" customFormat="false" ht="15" hidden="false" customHeight="false" outlineLevel="0" collapsed="false">
      <c r="A60" s="5" t="s">
        <v>160</v>
      </c>
      <c r="B60" s="5" t="str">
        <f aca="false">IFERROR(IF(A60="","",VLOOKUP(A60,Clientes!$A$3:$B$202,2,FALSE())),"")</f>
        <v>PROGRESO</v>
      </c>
      <c r="C60" s="5" t="s">
        <v>216</v>
      </c>
      <c r="D60" s="5"/>
      <c r="E60" s="5" t="s">
        <v>311</v>
      </c>
      <c r="F60" s="5" t="s">
        <v>313</v>
      </c>
      <c r="G60" s="5"/>
      <c r="H60" s="5"/>
      <c r="I60" s="5" t="s">
        <v>35</v>
      </c>
    </row>
    <row r="61" customFormat="false" ht="20.85" hidden="false" customHeight="false" outlineLevel="0" collapsed="false">
      <c r="A61" s="5" t="s">
        <v>143</v>
      </c>
      <c r="B61" s="5" t="str">
        <f aca="false">IFERROR(IF(A61="","",VLOOKUP(A61,Clientes!$A$3:$B$202,2,FALSE())),"")</f>
        <v>MIXQUIAHUALA</v>
      </c>
      <c r="C61" s="5" t="s">
        <v>212</v>
      </c>
      <c r="D61" s="5"/>
      <c r="E61" s="5" t="s">
        <v>213</v>
      </c>
      <c r="F61" s="5" t="s">
        <v>314</v>
      </c>
      <c r="G61" s="5"/>
      <c r="H61" s="5" t="s">
        <v>315</v>
      </c>
      <c r="I61" s="5" t="s">
        <v>35</v>
      </c>
    </row>
    <row r="62" customFormat="false" ht="20.85" hidden="false" customHeight="false" outlineLevel="0" collapsed="false">
      <c r="A62" s="5" t="s">
        <v>143</v>
      </c>
      <c r="B62" s="5" t="str">
        <f aca="false">IFERROR(IF(A62="","",VLOOKUP(A62,Clientes!$A$3:$B$202,2,FALSE())),"")</f>
        <v>MIXQUIAHUALA</v>
      </c>
      <c r="C62" s="5" t="s">
        <v>216</v>
      </c>
      <c r="D62" s="5"/>
      <c r="E62" s="5" t="s">
        <v>213</v>
      </c>
      <c r="F62" s="5" t="s">
        <v>316</v>
      </c>
      <c r="G62" s="5"/>
      <c r="H62" s="5" t="s">
        <v>315</v>
      </c>
      <c r="I62" s="5" t="s">
        <v>35</v>
      </c>
    </row>
    <row r="63" customFormat="false" ht="15" hidden="false" customHeight="false" outlineLevel="0" collapsed="false">
      <c r="A63" s="5" t="s">
        <v>143</v>
      </c>
      <c r="B63" s="5" t="str">
        <f aca="false">IFERROR(IF(A63="","",VLOOKUP(A63,Clientes!$A$3:$B$202,2,FALSE())),"")</f>
        <v>MIXQUIAHUALA</v>
      </c>
      <c r="C63" s="5" t="s">
        <v>212</v>
      </c>
      <c r="D63" s="5"/>
      <c r="E63" s="5" t="s">
        <v>317</v>
      </c>
      <c r="F63" s="5" t="s">
        <v>318</v>
      </c>
      <c r="G63" s="5"/>
      <c r="H63" s="5"/>
      <c r="I63" s="5" t="s">
        <v>35</v>
      </c>
    </row>
    <row r="64" customFormat="false" ht="15" hidden="false" customHeight="false" outlineLevel="0" collapsed="false">
      <c r="A64" s="5" t="s">
        <v>143</v>
      </c>
      <c r="B64" s="5" t="str">
        <f aca="false">IFERROR(IF(A64="","",VLOOKUP(A64,Clientes!$A$3:$B$202,2,FALSE())),"")</f>
        <v>MIXQUIAHUALA</v>
      </c>
      <c r="C64" s="5" t="s">
        <v>216</v>
      </c>
      <c r="D64" s="5"/>
      <c r="E64" s="5" t="s">
        <v>317</v>
      </c>
      <c r="F64" s="5" t="s">
        <v>319</v>
      </c>
      <c r="G64" s="5"/>
      <c r="H64" s="5"/>
      <c r="I64" s="5" t="s">
        <v>35</v>
      </c>
    </row>
    <row r="65" customFormat="false" ht="15" hidden="false" customHeight="false" outlineLevel="0" collapsed="false">
      <c r="A65" s="5" t="s">
        <v>143</v>
      </c>
      <c r="B65" s="5" t="str">
        <f aca="false">IFERROR(IF(A65="","",VLOOKUP(A65,Clientes!$A$3:$B$202,2,FALSE())),"")</f>
        <v>MIXQUIAHUALA</v>
      </c>
      <c r="C65" s="5" t="s">
        <v>212</v>
      </c>
      <c r="D65" s="5"/>
      <c r="E65" s="5" t="s">
        <v>306</v>
      </c>
      <c r="F65" s="5" t="s">
        <v>320</v>
      </c>
      <c r="G65" s="5"/>
      <c r="H65" s="5"/>
      <c r="I65" s="5" t="s">
        <v>35</v>
      </c>
    </row>
    <row r="66" customFormat="false" ht="15" hidden="false" customHeight="false" outlineLevel="0" collapsed="false">
      <c r="A66" s="5" t="s">
        <v>143</v>
      </c>
      <c r="B66" s="5" t="str">
        <f aca="false">IFERROR(IF(A66="","",VLOOKUP(A66,Clientes!$A$3:$B$202,2,FALSE())),"")</f>
        <v>MIXQUIAHUALA</v>
      </c>
      <c r="C66" s="5" t="s">
        <v>216</v>
      </c>
      <c r="D66" s="5"/>
      <c r="E66" s="5" t="s">
        <v>306</v>
      </c>
      <c r="F66" s="5" t="s">
        <v>321</v>
      </c>
      <c r="G66" s="5"/>
      <c r="H66" s="5"/>
      <c r="I66" s="5" t="s">
        <v>35</v>
      </c>
    </row>
    <row r="67" customFormat="false" ht="15" hidden="false" customHeight="false" outlineLevel="0" collapsed="false">
      <c r="A67" s="5" t="s">
        <v>143</v>
      </c>
      <c r="B67" s="5" t="str">
        <f aca="false">IFERROR(IF(A67="","",VLOOKUP(A67,Clientes!$A$3:$B$202,2,FALSE())),"")</f>
        <v>MIXQUIAHUALA</v>
      </c>
      <c r="C67" s="5" t="s">
        <v>212</v>
      </c>
      <c r="D67" s="5"/>
      <c r="E67" s="5" t="s">
        <v>322</v>
      </c>
      <c r="F67" s="5" t="s">
        <v>323</v>
      </c>
      <c r="G67" s="5"/>
      <c r="H67" s="5"/>
      <c r="I67" s="5" t="s">
        <v>35</v>
      </c>
    </row>
    <row r="68" customFormat="false" ht="15" hidden="false" customHeight="false" outlineLevel="0" collapsed="false">
      <c r="A68" s="5" t="s">
        <v>143</v>
      </c>
      <c r="B68" s="5" t="str">
        <f aca="false">IFERROR(IF(A68="","",VLOOKUP(A68,Clientes!$A$3:$B$202,2,FALSE())),"")</f>
        <v>MIXQUIAHUALA</v>
      </c>
      <c r="C68" s="5" t="s">
        <v>216</v>
      </c>
      <c r="D68" s="5"/>
      <c r="E68" s="5" t="s">
        <v>322</v>
      </c>
      <c r="F68" s="5" t="s">
        <v>324</v>
      </c>
      <c r="G68" s="5"/>
      <c r="H68" s="5"/>
      <c r="I68" s="5" t="s">
        <v>35</v>
      </c>
    </row>
    <row r="69" customFormat="false" ht="15" hidden="false" customHeight="false" outlineLevel="0" collapsed="false">
      <c r="A69" s="5" t="s">
        <v>143</v>
      </c>
      <c r="B69" s="5" t="str">
        <f aca="false">IFERROR(IF(A69="","",VLOOKUP(A69,Clientes!$A$3:$B$202,2,FALSE())),"")</f>
        <v>MIXQUIAHUALA</v>
      </c>
      <c r="C69" s="5" t="s">
        <v>216</v>
      </c>
      <c r="D69" s="5"/>
      <c r="E69" s="5" t="s">
        <v>325</v>
      </c>
      <c r="F69" s="5" t="s">
        <v>326</v>
      </c>
      <c r="G69" s="5"/>
      <c r="H69" s="5"/>
      <c r="I69" s="5" t="s">
        <v>35</v>
      </c>
    </row>
    <row r="70" customFormat="false" ht="15" hidden="false" customHeight="false" outlineLevel="0" collapsed="false">
      <c r="A70" s="5" t="s">
        <v>143</v>
      </c>
      <c r="B70" s="5" t="str">
        <f aca="false">IFERROR(IF(A70="","",VLOOKUP(A70,Clientes!$A$3:$B$202,2,FALSE())),"")</f>
        <v>MIXQUIAHUALA</v>
      </c>
      <c r="C70" s="5" t="s">
        <v>216</v>
      </c>
      <c r="D70" s="5"/>
      <c r="E70" s="5" t="s">
        <v>327</v>
      </c>
      <c r="F70" s="5" t="s">
        <v>328</v>
      </c>
      <c r="G70" s="5"/>
      <c r="H70" s="5"/>
      <c r="I70" s="5" t="s">
        <v>35</v>
      </c>
    </row>
    <row r="71" customFormat="false" ht="15" hidden="false" customHeight="false" outlineLevel="0" collapsed="false">
      <c r="A71" s="5" t="s">
        <v>143</v>
      </c>
      <c r="B71" s="5" t="str">
        <f aca="false">IFERROR(IF(A71="","",VLOOKUP(A71,Clientes!$A$3:$B$202,2,FALSE())),"")</f>
        <v>MIXQUIAHUALA</v>
      </c>
      <c r="C71" s="5" t="s">
        <v>216</v>
      </c>
      <c r="D71" s="5"/>
      <c r="E71" s="5"/>
      <c r="F71" s="5" t="s">
        <v>319</v>
      </c>
      <c r="G71" s="5"/>
      <c r="H71" s="5"/>
      <c r="I71" s="5" t="s">
        <v>35</v>
      </c>
    </row>
    <row r="72" customFormat="false" ht="15" hidden="false" customHeight="false" outlineLevel="0" collapsed="false">
      <c r="A72" s="5" t="s">
        <v>143</v>
      </c>
      <c r="B72" s="5" t="str">
        <f aca="false">IFERROR(IF(A72="","",VLOOKUP(A72,Clientes!$A$3:$B$202,2,FALSE())),"")</f>
        <v>MIXQUIAHUALA</v>
      </c>
      <c r="C72" s="5" t="s">
        <v>212</v>
      </c>
      <c r="D72" s="5"/>
      <c r="E72" s="5" t="s">
        <v>329</v>
      </c>
      <c r="F72" s="5" t="s">
        <v>330</v>
      </c>
      <c r="G72" s="5"/>
      <c r="H72" s="5"/>
      <c r="I72" s="5" t="s">
        <v>35</v>
      </c>
    </row>
    <row r="73" customFormat="false" ht="15" hidden="false" customHeight="false" outlineLevel="0" collapsed="false">
      <c r="A73" s="5" t="s">
        <v>143</v>
      </c>
      <c r="B73" s="5" t="str">
        <f aca="false">IFERROR(IF(A73="","",VLOOKUP(A73,Clientes!$A$3:$B$202,2,FALSE())),"")</f>
        <v>MIXQUIAHUALA</v>
      </c>
      <c r="C73" s="5" t="s">
        <v>216</v>
      </c>
      <c r="D73" s="5"/>
      <c r="E73" s="5" t="s">
        <v>329</v>
      </c>
      <c r="F73" s="5" t="s">
        <v>331</v>
      </c>
      <c r="G73" s="5"/>
      <c r="H73" s="5"/>
      <c r="I73" s="5" t="s">
        <v>35</v>
      </c>
    </row>
    <row r="74" customFormat="false" ht="15" hidden="false" customHeight="false" outlineLevel="0" collapsed="false">
      <c r="A74" s="5" t="s">
        <v>173</v>
      </c>
      <c r="B74" s="5" t="str">
        <f aca="false">IFERROR(IF(A74="","",VLOOKUP(A74,Clientes!$A$3:$B$202,2,FALSE())),"")</f>
        <v>TEZONTEPEC</v>
      </c>
      <c r="C74" s="5" t="s">
        <v>212</v>
      </c>
      <c r="D74" s="5"/>
      <c r="E74" s="5" t="s">
        <v>213</v>
      </c>
      <c r="F74" s="5" t="s">
        <v>332</v>
      </c>
      <c r="G74" s="5"/>
      <c r="H74" s="5" t="s">
        <v>333</v>
      </c>
      <c r="I74" s="5" t="s">
        <v>35</v>
      </c>
    </row>
    <row r="75" customFormat="false" ht="15" hidden="false" customHeight="false" outlineLevel="0" collapsed="false">
      <c r="A75" s="5" t="s">
        <v>173</v>
      </c>
      <c r="B75" s="5" t="str">
        <f aca="false">IFERROR(IF(A75="","",VLOOKUP(A75,Clientes!$A$3:$B$202,2,FALSE())),"")</f>
        <v>TEZONTEPEC</v>
      </c>
      <c r="C75" s="5" t="s">
        <v>216</v>
      </c>
      <c r="D75" s="5"/>
      <c r="E75" s="5" t="s">
        <v>213</v>
      </c>
      <c r="F75" s="5" t="s">
        <v>334</v>
      </c>
      <c r="G75" s="5"/>
      <c r="H75" s="5" t="s">
        <v>333</v>
      </c>
      <c r="I75" s="5" t="s">
        <v>35</v>
      </c>
    </row>
    <row r="76" customFormat="false" ht="15" hidden="false" customHeight="false" outlineLevel="0" collapsed="false">
      <c r="A76" s="5" t="s">
        <v>125</v>
      </c>
      <c r="B76" s="5" t="str">
        <f aca="false">IFERROR(IF(A76="","",VLOOKUP(A76,Clientes!$A$3:$B$202,2,FALSE())),"")</f>
        <v>HUASCA</v>
      </c>
      <c r="C76" s="5" t="s">
        <v>212</v>
      </c>
      <c r="D76" s="5"/>
      <c r="E76" s="5" t="s">
        <v>213</v>
      </c>
      <c r="F76" s="5" t="s">
        <v>335</v>
      </c>
      <c r="G76" s="5"/>
      <c r="H76" s="5"/>
      <c r="I76" s="5" t="s">
        <v>35</v>
      </c>
    </row>
    <row r="77" customFormat="false" ht="15" hidden="false" customHeight="false" outlineLevel="0" collapsed="false">
      <c r="A77" s="5" t="s">
        <v>125</v>
      </c>
      <c r="B77" s="5" t="str">
        <f aca="false">IFERROR(IF(A77="","",VLOOKUP(A77,Clientes!$A$3:$B$202,2,FALSE())),"")</f>
        <v>HUASCA</v>
      </c>
      <c r="C77" s="5" t="s">
        <v>216</v>
      </c>
      <c r="D77" s="5"/>
      <c r="E77" s="5" t="s">
        <v>213</v>
      </c>
      <c r="F77" s="5" t="s">
        <v>336</v>
      </c>
      <c r="G77" s="5"/>
      <c r="H77" s="5"/>
      <c r="I77" s="5" t="s">
        <v>35</v>
      </c>
    </row>
    <row r="78" customFormat="false" ht="15" hidden="false" customHeight="false" outlineLevel="0" collapsed="false">
      <c r="A78" s="5" t="s">
        <v>125</v>
      </c>
      <c r="B78" s="5" t="str">
        <f aca="false">IFERROR(IF(A78="","",VLOOKUP(A78,Clientes!$A$3:$B$202,2,FALSE())),"")</f>
        <v>HUASCA</v>
      </c>
      <c r="C78" s="5" t="s">
        <v>212</v>
      </c>
      <c r="D78" s="5"/>
      <c r="E78" s="5" t="s">
        <v>337</v>
      </c>
      <c r="F78" s="5" t="s">
        <v>338</v>
      </c>
      <c r="G78" s="5"/>
      <c r="H78" s="5"/>
      <c r="I78" s="5" t="s">
        <v>35</v>
      </c>
    </row>
    <row r="79" customFormat="false" ht="15" hidden="false" customHeight="false" outlineLevel="0" collapsed="false">
      <c r="A79" s="5" t="s">
        <v>68</v>
      </c>
      <c r="B79" s="5" t="str">
        <f aca="false">IFERROR(IF(A79="","",VLOOKUP(A79,Clientes!$A$3:$B$202,2,FALSE())),"")</f>
        <v>ARENAL</v>
      </c>
      <c r="C79" s="5" t="s">
        <v>212</v>
      </c>
      <c r="D79" s="5"/>
      <c r="E79" s="5" t="s">
        <v>213</v>
      </c>
      <c r="F79" s="5" t="s">
        <v>339</v>
      </c>
      <c r="G79" s="5"/>
      <c r="H79" s="5" t="s">
        <v>239</v>
      </c>
      <c r="I79" s="5" t="s">
        <v>35</v>
      </c>
    </row>
    <row r="80" customFormat="false" ht="15" hidden="false" customHeight="false" outlineLevel="0" collapsed="false">
      <c r="A80" s="5" t="s">
        <v>68</v>
      </c>
      <c r="B80" s="5" t="str">
        <f aca="false">IFERROR(IF(A80="","",VLOOKUP(A80,Clientes!$A$3:$B$202,2,FALSE())),"")</f>
        <v>ARENAL</v>
      </c>
      <c r="C80" s="5" t="s">
        <v>216</v>
      </c>
      <c r="D80" s="5"/>
      <c r="E80" s="5" t="s">
        <v>213</v>
      </c>
      <c r="F80" s="5" t="s">
        <v>340</v>
      </c>
      <c r="G80" s="5"/>
      <c r="H80" s="5" t="s">
        <v>239</v>
      </c>
      <c r="I80" s="5" t="s">
        <v>35</v>
      </c>
    </row>
    <row r="81" customFormat="false" ht="15" hidden="false" customHeight="false" outlineLevel="0" collapsed="false">
      <c r="A81" s="5" t="s">
        <v>68</v>
      </c>
      <c r="B81" s="5" t="str">
        <f aca="false">IFERROR(IF(A81="","",VLOOKUP(A81,Clientes!$A$3:$B$202,2,FALSE())),"")</f>
        <v>ARENAL</v>
      </c>
      <c r="C81" s="5" t="s">
        <v>212</v>
      </c>
      <c r="D81" s="5"/>
      <c r="E81" s="5"/>
      <c r="F81" s="5" t="s">
        <v>341</v>
      </c>
      <c r="G81" s="5"/>
      <c r="H81" s="5"/>
      <c r="I81" s="5" t="s">
        <v>35</v>
      </c>
    </row>
    <row r="82" customFormat="false" ht="15" hidden="false" customHeight="false" outlineLevel="0" collapsed="false">
      <c r="A82" s="5" t="s">
        <v>68</v>
      </c>
      <c r="B82" s="5" t="str">
        <f aca="false">IFERROR(IF(A82="","",VLOOKUP(A82,Clientes!$A$3:$B$202,2,FALSE())),"")</f>
        <v>ARENAL</v>
      </c>
      <c r="C82" s="5" t="s">
        <v>216</v>
      </c>
      <c r="D82" s="5"/>
      <c r="E82" s="5"/>
      <c r="F82" s="5" t="s">
        <v>342</v>
      </c>
      <c r="G82" s="5"/>
      <c r="H82" s="5"/>
      <c r="I82" s="5" t="s">
        <v>35</v>
      </c>
    </row>
    <row r="83" customFormat="false" ht="15" hidden="false" customHeight="false" outlineLevel="0" collapsed="false">
      <c r="A83" s="5" t="s">
        <v>94</v>
      </c>
      <c r="B83" s="5" t="str">
        <f aca="false">IFERROR(IF(A83="","",VLOOKUP(A83,Clientes!$A$3:$B$202,2,FALSE())),"")</f>
        <v>CUAUTEPEC ASERRADERO</v>
      </c>
      <c r="C83" s="5" t="s">
        <v>212</v>
      </c>
      <c r="D83" s="5"/>
      <c r="E83" s="5" t="s">
        <v>343</v>
      </c>
      <c r="F83" s="5" t="s">
        <v>344</v>
      </c>
      <c r="G83" s="5"/>
      <c r="H83" s="5"/>
      <c r="I83" s="5" t="s">
        <v>35</v>
      </c>
    </row>
    <row r="84" customFormat="false" ht="15" hidden="false" customHeight="false" outlineLevel="0" collapsed="false">
      <c r="A84" s="5" t="s">
        <v>94</v>
      </c>
      <c r="B84" s="5" t="str">
        <f aca="false">IFERROR(IF(A84="","",VLOOKUP(A84,Clientes!$A$3:$B$202,2,FALSE())),"")</f>
        <v>CUAUTEPEC ASERRADERO</v>
      </c>
      <c r="C84" s="5" t="s">
        <v>216</v>
      </c>
      <c r="D84" s="5"/>
      <c r="E84" s="5" t="s">
        <v>343</v>
      </c>
      <c r="F84" s="5" t="s">
        <v>345</v>
      </c>
      <c r="G84" s="5"/>
      <c r="H84" s="5"/>
      <c r="I84" s="5" t="s">
        <v>35</v>
      </c>
    </row>
    <row r="85" customFormat="false" ht="15" hidden="false" customHeight="false" outlineLevel="0" collapsed="false">
      <c r="A85" s="5" t="s">
        <v>94</v>
      </c>
      <c r="B85" s="5" t="str">
        <f aca="false">IFERROR(IF(A85="","",VLOOKUP(A85,Clientes!$A$3:$B$202,2,FALSE())),"")</f>
        <v>CUAUTEPEC ASERRADERO</v>
      </c>
      <c r="C85" s="5" t="s">
        <v>212</v>
      </c>
      <c r="D85" s="5"/>
      <c r="E85" s="5" t="s">
        <v>213</v>
      </c>
      <c r="F85" s="5" t="s">
        <v>346</v>
      </c>
      <c r="G85" s="5"/>
      <c r="H85" s="5" t="s">
        <v>333</v>
      </c>
      <c r="I85" s="5" t="s">
        <v>35</v>
      </c>
    </row>
    <row r="86" customFormat="false" ht="15" hidden="false" customHeight="false" outlineLevel="0" collapsed="false">
      <c r="A86" s="5" t="s">
        <v>85</v>
      </c>
      <c r="B86" s="5" t="str">
        <f aca="false">IFERROR(IF(A86="","",VLOOKUP(A86,Clientes!$A$3:$B$202,2,FALSE())),"")</f>
        <v>CUAUTEPEC AGUA</v>
      </c>
      <c r="C86" s="5" t="s">
        <v>212</v>
      </c>
      <c r="D86" s="5"/>
      <c r="E86" s="5" t="s">
        <v>213</v>
      </c>
      <c r="F86" s="5" t="s">
        <v>347</v>
      </c>
      <c r="G86" s="5"/>
      <c r="H86" s="5" t="s">
        <v>239</v>
      </c>
      <c r="I86" s="5" t="s">
        <v>35</v>
      </c>
    </row>
    <row r="87" customFormat="false" ht="15" hidden="false" customHeight="false" outlineLevel="0" collapsed="false">
      <c r="A87" s="5" t="s">
        <v>85</v>
      </c>
      <c r="B87" s="5" t="str">
        <f aca="false">IFERROR(IF(A87="","",VLOOKUP(A87,Clientes!$A$3:$B$202,2,FALSE())),"")</f>
        <v>CUAUTEPEC AGUA</v>
      </c>
      <c r="C87" s="5" t="s">
        <v>216</v>
      </c>
      <c r="D87" s="5"/>
      <c r="E87" s="5" t="s">
        <v>213</v>
      </c>
      <c r="F87" s="5" t="s">
        <v>348</v>
      </c>
      <c r="G87" s="5"/>
      <c r="H87" s="5" t="s">
        <v>239</v>
      </c>
      <c r="I87" s="5" t="s">
        <v>35</v>
      </c>
    </row>
    <row r="88" customFormat="false" ht="15" hidden="false" customHeight="false" outlineLevel="0" collapsed="false">
      <c r="A88" s="5" t="s">
        <v>85</v>
      </c>
      <c r="B88" s="5" t="str">
        <f aca="false">IFERROR(IF(A88="","",VLOOKUP(A88,Clientes!$A$3:$B$202,2,FALSE())),"")</f>
        <v>CUAUTEPEC AGUA</v>
      </c>
      <c r="C88" s="5" t="s">
        <v>212</v>
      </c>
      <c r="D88" s="5"/>
      <c r="E88" s="5" t="s">
        <v>337</v>
      </c>
      <c r="F88" s="5" t="s">
        <v>349</v>
      </c>
      <c r="G88" s="5"/>
      <c r="H88" s="5"/>
      <c r="I88" s="5" t="s">
        <v>35</v>
      </c>
    </row>
    <row r="89" customFormat="false" ht="15" hidden="false" customHeight="false" outlineLevel="0" collapsed="false">
      <c r="A89" s="5" t="s">
        <v>85</v>
      </c>
      <c r="B89" s="5" t="str">
        <f aca="false">IFERROR(IF(A89="","",VLOOKUP(A89,Clientes!$A$3:$B$202,2,FALSE())),"")</f>
        <v>CUAUTEPEC AGUA</v>
      </c>
      <c r="C89" s="5" t="s">
        <v>212</v>
      </c>
      <c r="D89" s="5"/>
      <c r="E89" s="5" t="s">
        <v>350</v>
      </c>
      <c r="F89" s="5" t="s">
        <v>351</v>
      </c>
      <c r="G89" s="5"/>
      <c r="H89" s="5"/>
      <c r="I89" s="5" t="s">
        <v>35</v>
      </c>
    </row>
    <row r="90" customFormat="false" ht="15" hidden="false" customHeight="false" outlineLevel="0" collapsed="false">
      <c r="A90" s="5" t="s">
        <v>85</v>
      </c>
      <c r="B90" s="5" t="str">
        <f aca="false">IFERROR(IF(A90="","",VLOOKUP(A90,Clientes!$A$3:$B$202,2,FALSE())),"")</f>
        <v>CUAUTEPEC AGUA</v>
      </c>
      <c r="C90" s="5" t="s">
        <v>216</v>
      </c>
      <c r="D90" s="5"/>
      <c r="E90" s="5" t="s">
        <v>350</v>
      </c>
      <c r="F90" s="5" t="s">
        <v>352</v>
      </c>
      <c r="G90" s="5"/>
      <c r="H90" s="5"/>
      <c r="I90" s="5" t="s">
        <v>35</v>
      </c>
    </row>
    <row r="91" customFormat="false" ht="15" hidden="false" customHeight="false" outlineLevel="0" collapsed="false">
      <c r="A91" s="5" t="s">
        <v>85</v>
      </c>
      <c r="B91" s="5" t="str">
        <f aca="false">IFERROR(IF(A91="","",VLOOKUP(A91,Clientes!$A$3:$B$202,2,FALSE())),"")</f>
        <v>CUAUTEPEC AGUA</v>
      </c>
      <c r="C91" s="5" t="s">
        <v>212</v>
      </c>
      <c r="D91" s="5"/>
      <c r="E91" s="5" t="s">
        <v>353</v>
      </c>
      <c r="F91" s="5" t="s">
        <v>354</v>
      </c>
      <c r="G91" s="5"/>
      <c r="H91" s="5"/>
      <c r="I91" s="5" t="s">
        <v>35</v>
      </c>
    </row>
    <row r="92" customFormat="false" ht="15" hidden="false" customHeight="false" outlineLevel="0" collapsed="false">
      <c r="A92" s="5" t="s">
        <v>85</v>
      </c>
      <c r="B92" s="5" t="str">
        <f aca="false">IFERROR(IF(A92="","",VLOOKUP(A92,Clientes!$A$3:$B$202,2,FALSE())),"")</f>
        <v>CUAUTEPEC AGUA</v>
      </c>
      <c r="C92" s="5" t="s">
        <v>216</v>
      </c>
      <c r="D92" s="5"/>
      <c r="E92" s="5" t="s">
        <v>353</v>
      </c>
      <c r="F92" s="5" t="s">
        <v>355</v>
      </c>
      <c r="G92" s="5"/>
      <c r="H92" s="5"/>
      <c r="I92" s="5" t="s">
        <v>35</v>
      </c>
    </row>
    <row r="93" customFormat="false" ht="15" hidden="false" customHeight="false" outlineLevel="0" collapsed="false">
      <c r="A93" s="5" t="s">
        <v>85</v>
      </c>
      <c r="B93" s="5" t="str">
        <f aca="false">IFERROR(IF(A93="","",VLOOKUP(A93,Clientes!$A$3:$B$202,2,FALSE())),"")</f>
        <v>CUAUTEPEC AGUA</v>
      </c>
      <c r="C93" s="5" t="s">
        <v>212</v>
      </c>
      <c r="D93" s="5"/>
      <c r="E93" s="5" t="s">
        <v>356</v>
      </c>
      <c r="F93" s="5" t="s">
        <v>357</v>
      </c>
      <c r="G93" s="5"/>
      <c r="H93" s="5" t="s">
        <v>358</v>
      </c>
      <c r="I93" s="5" t="s">
        <v>35</v>
      </c>
    </row>
    <row r="94" customFormat="false" ht="15" hidden="false" customHeight="false" outlineLevel="0" collapsed="false">
      <c r="A94" s="5" t="s">
        <v>85</v>
      </c>
      <c r="B94" s="5" t="str">
        <f aca="false">IFERROR(IF(A94="","",VLOOKUP(A94,Clientes!$A$3:$B$202,2,FALSE())),"")</f>
        <v>CUAUTEPEC AGUA</v>
      </c>
      <c r="C94" s="5" t="s">
        <v>212</v>
      </c>
      <c r="D94" s="5"/>
      <c r="E94" s="5" t="s">
        <v>213</v>
      </c>
      <c r="F94" s="5" t="s">
        <v>359</v>
      </c>
      <c r="G94" s="5"/>
      <c r="H94" s="5"/>
      <c r="I94" s="5" t="s">
        <v>35</v>
      </c>
    </row>
    <row r="95" customFormat="false" ht="15" hidden="false" customHeight="false" outlineLevel="0" collapsed="false">
      <c r="A95" s="5" t="s">
        <v>134</v>
      </c>
      <c r="B95" s="5" t="str">
        <f aca="false">IFERROR(IF(A95="","",VLOOKUP(A95,Clientes!$A$3:$B$202,2,FALSE())),"")</f>
        <v>HUEJUTLA</v>
      </c>
      <c r="C95" s="5" t="s">
        <v>212</v>
      </c>
      <c r="D95" s="5"/>
      <c r="E95" s="5" t="s">
        <v>213</v>
      </c>
      <c r="F95" s="5" t="s">
        <v>360</v>
      </c>
      <c r="G95" s="5"/>
      <c r="H95" s="5" t="s">
        <v>333</v>
      </c>
      <c r="I95" s="5" t="s">
        <v>35</v>
      </c>
    </row>
    <row r="96" customFormat="false" ht="15" hidden="false" customHeight="false" outlineLevel="0" collapsed="false">
      <c r="A96" s="5" t="s">
        <v>134</v>
      </c>
      <c r="B96" s="5" t="str">
        <f aca="false">IFERROR(IF(A96="","",VLOOKUP(A96,Clientes!$A$3:$B$202,2,FALSE())),"")</f>
        <v>HUEJUTLA</v>
      </c>
      <c r="C96" s="5" t="s">
        <v>216</v>
      </c>
      <c r="D96" s="5"/>
      <c r="E96" s="5" t="s">
        <v>213</v>
      </c>
      <c r="F96" s="5" t="s">
        <v>361</v>
      </c>
      <c r="G96" s="5"/>
      <c r="H96" s="5" t="s">
        <v>333</v>
      </c>
      <c r="I96" s="5" t="s">
        <v>35</v>
      </c>
    </row>
    <row r="97" customFormat="false" ht="15" hidden="false" customHeight="false" outlineLevel="0" collapsed="false">
      <c r="A97" s="5" t="s">
        <v>134</v>
      </c>
      <c r="B97" s="5" t="str">
        <f aca="false">IFERROR(IF(A97="","",VLOOKUP(A97,Clientes!$A$3:$B$202,2,FALSE())),"")</f>
        <v>HUEJUTLA</v>
      </c>
      <c r="C97" s="5" t="s">
        <v>216</v>
      </c>
      <c r="D97" s="5"/>
      <c r="E97" s="5" t="s">
        <v>362</v>
      </c>
      <c r="F97" s="5" t="s">
        <v>363</v>
      </c>
      <c r="G97" s="5"/>
      <c r="H97" s="5"/>
      <c r="I97" s="5" t="s">
        <v>35</v>
      </c>
    </row>
    <row r="98" customFormat="false" ht="15" hidden="false" customHeight="false" outlineLevel="0" collapsed="false">
      <c r="A98" s="5" t="s">
        <v>134</v>
      </c>
      <c r="B98" s="5" t="str">
        <f aca="false">IFERROR(IF(A98="","",VLOOKUP(A98,Clientes!$A$3:$B$202,2,FALSE())),"")</f>
        <v>HUEJUTLA</v>
      </c>
      <c r="C98" s="5" t="s">
        <v>212</v>
      </c>
      <c r="D98" s="5"/>
      <c r="E98" s="5" t="s">
        <v>364</v>
      </c>
      <c r="F98" s="5" t="s">
        <v>365</v>
      </c>
      <c r="G98" s="5"/>
      <c r="H98" s="5"/>
      <c r="I98" s="5" t="s">
        <v>35</v>
      </c>
    </row>
    <row r="99" customFormat="false" ht="15" hidden="false" customHeight="false" outlineLevel="0" collapsed="false">
      <c r="A99" s="5" t="s">
        <v>134</v>
      </c>
      <c r="B99" s="5" t="str">
        <f aca="false">IFERROR(IF(A99="","",VLOOKUP(A99,Clientes!$A$3:$B$202,2,FALSE())),"")</f>
        <v>HUEJUTLA</v>
      </c>
      <c r="C99" s="5" t="s">
        <v>212</v>
      </c>
      <c r="D99" s="5"/>
      <c r="E99" s="5" t="s">
        <v>337</v>
      </c>
      <c r="F99" s="5" t="s">
        <v>366</v>
      </c>
      <c r="G99" s="5"/>
      <c r="H99" s="5"/>
      <c r="I99" s="5" t="s">
        <v>35</v>
      </c>
    </row>
    <row r="100" customFormat="false" ht="15" hidden="false" customHeight="false" outlineLevel="0" collapsed="false">
      <c r="A100" s="5" t="s">
        <v>134</v>
      </c>
      <c r="B100" s="5" t="str">
        <f aca="false">IFERROR(IF(A100="","",VLOOKUP(A100,Clientes!$A$3:$B$202,2,FALSE())),"")</f>
        <v>HUEJUTLA</v>
      </c>
      <c r="C100" s="5" t="s">
        <v>216</v>
      </c>
      <c r="D100" s="5"/>
      <c r="E100" s="5" t="s">
        <v>337</v>
      </c>
      <c r="F100" s="5" t="s">
        <v>363</v>
      </c>
      <c r="G100" s="5"/>
      <c r="H100" s="5"/>
      <c r="I100" s="5" t="s">
        <v>35</v>
      </c>
    </row>
    <row r="101" customFormat="false" ht="15" hidden="false" customHeight="false" outlineLevel="0" collapsed="false">
      <c r="A101" s="5" t="s">
        <v>134</v>
      </c>
      <c r="B101" s="5" t="str">
        <f aca="false">IFERROR(IF(A101="","",VLOOKUP(A101,Clientes!$A$3:$B$202,2,FALSE())),"")</f>
        <v>HUEJUTLA</v>
      </c>
      <c r="C101" s="5" t="s">
        <v>216</v>
      </c>
      <c r="D101" s="5"/>
      <c r="E101" s="5" t="s">
        <v>235</v>
      </c>
      <c r="F101" s="5" t="s">
        <v>367</v>
      </c>
      <c r="G101" s="5"/>
      <c r="H101" s="5"/>
      <c r="I101" s="5" t="s">
        <v>35</v>
      </c>
    </row>
    <row r="102" customFormat="false" ht="15" hidden="false" customHeight="false" outlineLevel="0" collapsed="false">
      <c r="A102" s="5" t="s">
        <v>134</v>
      </c>
      <c r="B102" s="5" t="str">
        <f aca="false">IFERROR(IF(A102="","",VLOOKUP(A102,Clientes!$A$3:$B$202,2,FALSE())),"")</f>
        <v>HUEJUTLA</v>
      </c>
      <c r="C102" s="5" t="s">
        <v>212</v>
      </c>
      <c r="D102" s="5"/>
      <c r="E102" s="5" t="s">
        <v>368</v>
      </c>
      <c r="F102" s="5" t="s">
        <v>365</v>
      </c>
      <c r="G102" s="5"/>
      <c r="H102" s="5"/>
      <c r="I102" s="5" t="s">
        <v>35</v>
      </c>
    </row>
    <row r="103" customFormat="false" ht="15" hidden="false" customHeight="false" outlineLevel="0" collapsed="false">
      <c r="A103" s="5" t="s">
        <v>134</v>
      </c>
      <c r="B103" s="5" t="str">
        <f aca="false">IFERROR(IF(A103="","",VLOOKUP(A103,Clientes!$A$3:$B$202,2,FALSE())),"")</f>
        <v>HUEJUTLA</v>
      </c>
      <c r="C103" s="5" t="s">
        <v>216</v>
      </c>
      <c r="D103" s="5"/>
      <c r="E103" s="5" t="s">
        <v>368</v>
      </c>
      <c r="F103" s="5" t="s">
        <v>369</v>
      </c>
      <c r="G103" s="5"/>
      <c r="H103" s="5"/>
      <c r="I103" s="5" t="s">
        <v>35</v>
      </c>
    </row>
    <row r="104" customFormat="false" ht="15" hidden="false" customHeight="false" outlineLevel="0" collapsed="false">
      <c r="A104" s="5" t="s">
        <v>134</v>
      </c>
      <c r="B104" s="5" t="str">
        <f aca="false">IFERROR(IF(A104="","",VLOOKUP(A104,Clientes!$A$3:$B$202,2,FALSE())),"")</f>
        <v>HUEJUTLA</v>
      </c>
      <c r="C104" s="5" t="s">
        <v>212</v>
      </c>
      <c r="D104" s="5"/>
      <c r="E104" s="5" t="s">
        <v>370</v>
      </c>
      <c r="F104" s="5" t="s">
        <v>371</v>
      </c>
      <c r="G104" s="5"/>
      <c r="H104" s="5"/>
      <c r="I104" s="5" t="s">
        <v>35</v>
      </c>
    </row>
    <row r="105" customFormat="false" ht="15" hidden="false" customHeight="false" outlineLevel="0" collapsed="false">
      <c r="A105" s="5" t="s">
        <v>134</v>
      </c>
      <c r="B105" s="5" t="str">
        <f aca="false">IFERROR(IF(A105="","",VLOOKUP(A105,Clientes!$A$3:$B$202,2,FALSE())),"")</f>
        <v>HUEJUTLA</v>
      </c>
      <c r="C105" s="5" t="s">
        <v>212</v>
      </c>
      <c r="D105" s="5"/>
      <c r="E105" s="5" t="s">
        <v>372</v>
      </c>
      <c r="F105" s="5" t="s">
        <v>373</v>
      </c>
      <c r="G105" s="5"/>
      <c r="H105" s="5"/>
      <c r="I105" s="5" t="s">
        <v>35</v>
      </c>
    </row>
    <row r="106" customFormat="false" ht="15" hidden="false" customHeight="false" outlineLevel="0" collapsed="false">
      <c r="A106" s="5" t="s">
        <v>134</v>
      </c>
      <c r="B106" s="5" t="str">
        <f aca="false">IFERROR(IF(A106="","",VLOOKUP(A106,Clientes!$A$3:$B$202,2,FALSE())),"")</f>
        <v>HUEJUTLA</v>
      </c>
      <c r="C106" s="5" t="s">
        <v>216</v>
      </c>
      <c r="D106" s="5"/>
      <c r="E106" s="5" t="s">
        <v>372</v>
      </c>
      <c r="F106" s="5" t="s">
        <v>374</v>
      </c>
      <c r="G106" s="5"/>
      <c r="H106" s="5"/>
      <c r="I106" s="5" t="s">
        <v>35</v>
      </c>
    </row>
    <row r="107" customFormat="false" ht="15" hidden="false" customHeight="false" outlineLevel="0" collapsed="false">
      <c r="A107" s="5" t="s">
        <v>150</v>
      </c>
      <c r="B107" s="5" t="str">
        <f aca="false">IFERROR(IF(A107="","",VLOOKUP(A107,Clientes!$A$3:$B$202,2,FALSE())),"")</f>
        <v>MULEGE (BC)</v>
      </c>
      <c r="C107" s="5" t="s">
        <v>212</v>
      </c>
      <c r="D107" s="5" t="s">
        <v>235</v>
      </c>
      <c r="E107" s="5" t="s">
        <v>375</v>
      </c>
      <c r="F107" s="5" t="s">
        <v>376</v>
      </c>
      <c r="G107" s="5"/>
      <c r="H107" s="5"/>
      <c r="I107" s="5" t="s">
        <v>35</v>
      </c>
    </row>
    <row r="108" customFormat="false" ht="15" hidden="false" customHeight="false" outlineLevel="0" collapsed="false">
      <c r="A108" s="5" t="s">
        <v>150</v>
      </c>
      <c r="B108" s="5" t="str">
        <f aca="false">IFERROR(IF(A108="","",VLOOKUP(A108,Clientes!$A$3:$B$202,2,FALSE())),"")</f>
        <v>MULEGE (BC)</v>
      </c>
      <c r="C108" s="5" t="s">
        <v>212</v>
      </c>
      <c r="D108" s="5"/>
      <c r="E108" s="5" t="s">
        <v>377</v>
      </c>
      <c r="F108" s="5" t="s">
        <v>378</v>
      </c>
      <c r="G108" s="5"/>
      <c r="H108" s="5" t="s">
        <v>379</v>
      </c>
      <c r="I108" s="5" t="s">
        <v>35</v>
      </c>
    </row>
    <row r="109" customFormat="false" ht="15" hidden="false" customHeight="false" outlineLevel="0" collapsed="false">
      <c r="A109" s="5" t="s">
        <v>150</v>
      </c>
      <c r="B109" s="5" t="str">
        <f aca="false">IFERROR(IF(A109="","",VLOOKUP(A109,Clientes!$A$3:$B$202,2,FALSE())),"")</f>
        <v>MULEGE (BC)</v>
      </c>
      <c r="C109" s="5" t="s">
        <v>216</v>
      </c>
      <c r="D109" s="5"/>
      <c r="E109" s="5" t="s">
        <v>377</v>
      </c>
      <c r="F109" s="5" t="s">
        <v>380</v>
      </c>
      <c r="G109" s="5"/>
      <c r="H109" s="5" t="s">
        <v>379</v>
      </c>
      <c r="I109" s="5" t="s">
        <v>35</v>
      </c>
    </row>
    <row r="110" customFormat="false" ht="15" hidden="false" customHeight="false" outlineLevel="0" collapsed="false">
      <c r="A110" s="5" t="s">
        <v>150</v>
      </c>
      <c r="B110" s="5" t="str">
        <f aca="false">IFERROR(IF(A110="","",VLOOKUP(A110,Clientes!$A$3:$B$202,2,FALSE())),"")</f>
        <v>MULEGE (BC)</v>
      </c>
      <c r="C110" s="5" t="s">
        <v>212</v>
      </c>
      <c r="D110" s="5"/>
      <c r="E110" s="5" t="s">
        <v>381</v>
      </c>
      <c r="F110" s="5" t="s">
        <v>382</v>
      </c>
      <c r="G110" s="5"/>
      <c r="H110" s="5"/>
      <c r="I110" s="5" t="s">
        <v>35</v>
      </c>
    </row>
    <row r="111" customFormat="false" ht="15" hidden="false" customHeight="false" outlineLevel="0" collapsed="false">
      <c r="A111" s="5" t="s">
        <v>150</v>
      </c>
      <c r="B111" s="5" t="str">
        <f aca="false">IFERROR(IF(A111="","",VLOOKUP(A111,Clientes!$A$3:$B$202,2,FALSE())),"")</f>
        <v>MULEGE (BC)</v>
      </c>
      <c r="C111" s="5" t="s">
        <v>216</v>
      </c>
      <c r="D111" s="5"/>
      <c r="E111" s="5" t="s">
        <v>381</v>
      </c>
      <c r="F111" s="5" t="s">
        <v>383</v>
      </c>
      <c r="G111" s="5"/>
      <c r="H111" s="5"/>
      <c r="I111" s="5" t="s">
        <v>35</v>
      </c>
    </row>
    <row r="112" customFormat="false" ht="15" hidden="false" customHeight="false" outlineLevel="0" collapsed="false">
      <c r="A112" s="5" t="s">
        <v>150</v>
      </c>
      <c r="B112" s="5" t="str">
        <f aca="false">IFERROR(IF(A112="","",VLOOKUP(A112,Clientes!$A$3:$B$202,2,FALSE())),"")</f>
        <v>MULEGE (BC)</v>
      </c>
      <c r="C112" s="5" t="s">
        <v>212</v>
      </c>
      <c r="D112" s="5" t="s">
        <v>384</v>
      </c>
      <c r="E112" s="5" t="s">
        <v>385</v>
      </c>
      <c r="F112" s="5" t="s">
        <v>386</v>
      </c>
      <c r="G112" s="5"/>
      <c r="H112" s="5" t="s">
        <v>379</v>
      </c>
      <c r="I112" s="5" t="s">
        <v>35</v>
      </c>
    </row>
    <row r="113" customFormat="false" ht="15" hidden="false" customHeight="false" outlineLevel="0" collapsed="false">
      <c r="A113" s="5" t="s">
        <v>150</v>
      </c>
      <c r="B113" s="5" t="str">
        <f aca="false">IFERROR(IF(A113="","",VLOOKUP(A113,Clientes!$A$3:$B$202,2,FALSE())),"")</f>
        <v>MULEGE (BC)</v>
      </c>
      <c r="C113" s="5" t="s">
        <v>216</v>
      </c>
      <c r="D113" s="5" t="s">
        <v>384</v>
      </c>
      <c r="E113" s="5" t="s">
        <v>385</v>
      </c>
      <c r="F113" s="5" t="s">
        <v>387</v>
      </c>
      <c r="G113" s="5"/>
      <c r="H113" s="5" t="s">
        <v>379</v>
      </c>
      <c r="I113" s="5" t="s">
        <v>35</v>
      </c>
    </row>
    <row r="114" customFormat="false" ht="15" hidden="false" customHeight="false" outlineLevel="0" collapsed="false">
      <c r="A114" s="5" t="s">
        <v>150</v>
      </c>
      <c r="B114" s="5" t="str">
        <f aca="false">IFERROR(IF(A114="","",VLOOKUP(A114,Clientes!$A$3:$B$202,2,FALSE())),"")</f>
        <v>MULEGE (BC)</v>
      </c>
      <c r="C114" s="5" t="s">
        <v>212</v>
      </c>
      <c r="D114" s="5" t="s">
        <v>388</v>
      </c>
      <c r="E114" s="5" t="s">
        <v>389</v>
      </c>
      <c r="F114" s="5" t="s">
        <v>390</v>
      </c>
      <c r="G114" s="5"/>
      <c r="H114" s="5"/>
      <c r="I114" s="5" t="s">
        <v>35</v>
      </c>
    </row>
    <row r="115" customFormat="false" ht="15" hidden="false" customHeight="false" outlineLevel="0" collapsed="false">
      <c r="A115" s="5" t="s">
        <v>150</v>
      </c>
      <c r="B115" s="5" t="str">
        <f aca="false">IFERROR(IF(A115="","",VLOOKUP(A115,Clientes!$A$3:$B$202,2,FALSE())),"")</f>
        <v>MULEGE (BC)</v>
      </c>
      <c r="C115" s="5" t="s">
        <v>212</v>
      </c>
      <c r="D115" s="5"/>
      <c r="E115" s="5" t="s">
        <v>391</v>
      </c>
      <c r="F115" s="5" t="s">
        <v>392</v>
      </c>
      <c r="G115" s="5"/>
      <c r="H115" s="5" t="s">
        <v>379</v>
      </c>
      <c r="I115" s="5" t="s">
        <v>35</v>
      </c>
    </row>
    <row r="116" customFormat="false" ht="15" hidden="false" customHeight="false" outlineLevel="0" collapsed="false">
      <c r="A116" s="5" t="s">
        <v>150</v>
      </c>
      <c r="B116" s="5" t="str">
        <f aca="false">IFERROR(IF(A116="","",VLOOKUP(A116,Clientes!$A$3:$B$202,2,FALSE())),"")</f>
        <v>MULEGE (BC)</v>
      </c>
      <c r="C116" s="5" t="s">
        <v>216</v>
      </c>
      <c r="D116" s="5"/>
      <c r="E116" s="5" t="s">
        <v>391</v>
      </c>
      <c r="F116" s="5" t="s">
        <v>393</v>
      </c>
      <c r="G116" s="5"/>
      <c r="H116" s="5" t="s">
        <v>379</v>
      </c>
      <c r="I116" s="5" t="s">
        <v>35</v>
      </c>
    </row>
    <row r="117" customFormat="false" ht="15" hidden="false" customHeight="false" outlineLevel="0" collapsed="false">
      <c r="A117" s="5" t="s">
        <v>150</v>
      </c>
      <c r="B117" s="5" t="str">
        <f aca="false">IFERROR(IF(A117="","",VLOOKUP(A117,Clientes!$A$3:$B$202,2,FALSE())),"")</f>
        <v>MULEGE (BC)</v>
      </c>
      <c r="C117" s="5" t="s">
        <v>212</v>
      </c>
      <c r="D117" s="5"/>
      <c r="E117" s="5" t="s">
        <v>394</v>
      </c>
      <c r="F117" s="5" t="s">
        <v>395</v>
      </c>
      <c r="G117" s="5"/>
      <c r="H117" s="5" t="s">
        <v>379</v>
      </c>
      <c r="I117" s="5" t="s">
        <v>35</v>
      </c>
    </row>
    <row r="118" customFormat="false" ht="15" hidden="false" customHeight="false" outlineLevel="0" collapsed="false">
      <c r="A118" s="5" t="s">
        <v>150</v>
      </c>
      <c r="B118" s="5" t="str">
        <f aca="false">IFERROR(IF(A118="","",VLOOKUP(A118,Clientes!$A$3:$B$202,2,FALSE())),"")</f>
        <v>MULEGE (BC)</v>
      </c>
      <c r="C118" s="5" t="s">
        <v>216</v>
      </c>
      <c r="D118" s="5"/>
      <c r="E118" s="5" t="s">
        <v>394</v>
      </c>
      <c r="F118" s="5" t="s">
        <v>396</v>
      </c>
      <c r="G118" s="5"/>
      <c r="H118" s="5" t="s">
        <v>379</v>
      </c>
      <c r="I118" s="5" t="s">
        <v>35</v>
      </c>
    </row>
    <row r="119" customFormat="false" ht="15" hidden="false" customHeight="false" outlineLevel="0" collapsed="false">
      <c r="A119" s="5" t="s">
        <v>150</v>
      </c>
      <c r="B119" s="5" t="str">
        <f aca="false">IFERROR(IF(A119="","",VLOOKUP(A119,Clientes!$A$3:$B$202,2,FALSE())),"")</f>
        <v>MULEGE (BC)</v>
      </c>
      <c r="C119" s="5" t="s">
        <v>212</v>
      </c>
      <c r="D119" s="5"/>
      <c r="E119" s="5" t="s">
        <v>154</v>
      </c>
      <c r="F119" s="5" t="s">
        <v>397</v>
      </c>
      <c r="G119" s="5"/>
      <c r="H119" s="5"/>
      <c r="I119" s="5" t="s">
        <v>35</v>
      </c>
    </row>
    <row r="120" customFormat="false" ht="15" hidden="false" customHeight="false" outlineLevel="0" collapsed="false">
      <c r="A120" s="5" t="s">
        <v>150</v>
      </c>
      <c r="B120" s="5" t="str">
        <f aca="false">IFERROR(IF(A120="","",VLOOKUP(A120,Clientes!$A$3:$B$202,2,FALSE())),"")</f>
        <v>MULEGE (BC)</v>
      </c>
      <c r="C120" s="5" t="s">
        <v>212</v>
      </c>
      <c r="D120" s="5"/>
      <c r="E120" s="5" t="s">
        <v>398</v>
      </c>
      <c r="F120" s="5" t="s">
        <v>399</v>
      </c>
      <c r="G120" s="5"/>
      <c r="H120" s="5" t="s">
        <v>379</v>
      </c>
      <c r="I120" s="5" t="s">
        <v>35</v>
      </c>
    </row>
    <row r="121" customFormat="false" ht="15" hidden="false" customHeight="false" outlineLevel="0" collapsed="false">
      <c r="A121" s="5" t="s">
        <v>150</v>
      </c>
      <c r="B121" s="5" t="str">
        <f aca="false">IFERROR(IF(A121="","",VLOOKUP(A121,Clientes!$A$3:$B$202,2,FALSE())),"")</f>
        <v>MULEGE (BC)</v>
      </c>
      <c r="C121" s="5" t="s">
        <v>216</v>
      </c>
      <c r="D121" s="5"/>
      <c r="E121" s="5" t="s">
        <v>398</v>
      </c>
      <c r="F121" s="5" t="s">
        <v>400</v>
      </c>
      <c r="G121" s="5"/>
      <c r="H121" s="5" t="s">
        <v>379</v>
      </c>
      <c r="I121" s="5" t="s">
        <v>35</v>
      </c>
    </row>
    <row r="122" customFormat="false" ht="15" hidden="false" customHeight="false" outlineLevel="0" collapsed="false">
      <c r="A122" s="5" t="s">
        <v>150</v>
      </c>
      <c r="B122" s="5" t="str">
        <f aca="false">IFERROR(IF(A122="","",VLOOKUP(A122,Clientes!$A$3:$B$202,2,FALSE())),"")</f>
        <v>MULEGE (BC)</v>
      </c>
      <c r="C122" s="5" t="s">
        <v>212</v>
      </c>
      <c r="D122" s="5"/>
      <c r="E122" s="5" t="s">
        <v>401</v>
      </c>
      <c r="F122" s="5" t="s">
        <v>402</v>
      </c>
      <c r="G122" s="5"/>
      <c r="H122" s="5"/>
      <c r="I122" s="5" t="s">
        <v>35</v>
      </c>
    </row>
    <row r="123" customFormat="false" ht="15" hidden="false" customHeight="false" outlineLevel="0" collapsed="false">
      <c r="A123" s="5" t="s">
        <v>150</v>
      </c>
      <c r="B123" s="5" t="str">
        <f aca="false">IFERROR(IF(A123="","",VLOOKUP(A123,Clientes!$A$3:$B$202,2,FALSE())),"")</f>
        <v>MULEGE (BC)</v>
      </c>
      <c r="C123" s="5" t="s">
        <v>216</v>
      </c>
      <c r="D123" s="5"/>
      <c r="E123" s="5" t="s">
        <v>401</v>
      </c>
      <c r="F123" s="5" t="s">
        <v>403</v>
      </c>
      <c r="G123" s="5"/>
      <c r="H123" s="5"/>
      <c r="I123" s="5" t="s">
        <v>35</v>
      </c>
    </row>
    <row r="124" customFormat="false" ht="15" hidden="false" customHeight="false" outlineLevel="0" collapsed="false">
      <c r="A124" s="5" t="s">
        <v>150</v>
      </c>
      <c r="B124" s="5" t="str">
        <f aca="false">IFERROR(IF(A124="","",VLOOKUP(A124,Clientes!$A$3:$B$202,2,FALSE())),"")</f>
        <v>MULEGE (BC)</v>
      </c>
      <c r="C124" s="5" t="s">
        <v>212</v>
      </c>
      <c r="D124" s="5"/>
      <c r="E124" s="5" t="s">
        <v>404</v>
      </c>
      <c r="F124" s="5" t="s">
        <v>405</v>
      </c>
      <c r="G124" s="5"/>
      <c r="H124" s="5"/>
      <c r="I124" s="5" t="s">
        <v>35</v>
      </c>
    </row>
    <row r="125" customFormat="false" ht="15" hidden="false" customHeight="false" outlineLevel="0" collapsed="false">
      <c r="A125" s="5" t="s">
        <v>150</v>
      </c>
      <c r="B125" s="5" t="str">
        <f aca="false">IFERROR(IF(A125="","",VLOOKUP(A125,Clientes!$A$3:$B$202,2,FALSE())),"")</f>
        <v>MULEGE (BC)</v>
      </c>
      <c r="C125" s="5" t="s">
        <v>212</v>
      </c>
      <c r="D125" s="5"/>
      <c r="E125" s="5" t="s">
        <v>406</v>
      </c>
      <c r="F125" s="5" t="s">
        <v>407</v>
      </c>
      <c r="G125" s="5"/>
      <c r="H125" s="5"/>
      <c r="I125" s="5" t="s">
        <v>35</v>
      </c>
    </row>
    <row r="126" customFormat="false" ht="15" hidden="false" customHeight="false" outlineLevel="0" collapsed="false">
      <c r="A126" s="5" t="s">
        <v>150</v>
      </c>
      <c r="B126" s="5" t="str">
        <f aca="false">IFERROR(IF(A126="","",VLOOKUP(A126,Clientes!$A$3:$B$202,2,FALSE())),"")</f>
        <v>MULEGE (BC)</v>
      </c>
      <c r="C126" s="5" t="s">
        <v>212</v>
      </c>
      <c r="D126" s="5"/>
      <c r="E126" s="5" t="s">
        <v>408</v>
      </c>
      <c r="F126" s="5" t="s">
        <v>409</v>
      </c>
      <c r="G126" s="5"/>
      <c r="H126" s="5" t="s">
        <v>379</v>
      </c>
      <c r="I126" s="5" t="s">
        <v>35</v>
      </c>
    </row>
    <row r="127" customFormat="false" ht="15" hidden="false" customHeight="false" outlineLevel="0" collapsed="false">
      <c r="A127" s="5" t="s">
        <v>150</v>
      </c>
      <c r="B127" s="5" t="str">
        <f aca="false">IFERROR(IF(A127="","",VLOOKUP(A127,Clientes!$A$3:$B$202,2,FALSE())),"")</f>
        <v>MULEGE (BC)</v>
      </c>
      <c r="C127" s="5" t="s">
        <v>212</v>
      </c>
      <c r="D127" s="5"/>
      <c r="E127" s="5" t="s">
        <v>410</v>
      </c>
      <c r="F127" s="5" t="s">
        <v>411</v>
      </c>
      <c r="G127" s="5"/>
      <c r="H127" s="5"/>
      <c r="I127" s="5" t="s">
        <v>35</v>
      </c>
    </row>
    <row r="128" customFormat="false" ht="15" hidden="false" customHeight="false" outlineLevel="0" collapsed="false">
      <c r="A128" s="5" t="s">
        <v>150</v>
      </c>
      <c r="B128" s="5" t="str">
        <f aca="false">IFERROR(IF(A128="","",VLOOKUP(A128,Clientes!$A$3:$B$202,2,FALSE())),"")</f>
        <v>MULEGE (BC)</v>
      </c>
      <c r="C128" s="5" t="s">
        <v>216</v>
      </c>
      <c r="D128" s="5"/>
      <c r="E128" s="5" t="s">
        <v>410</v>
      </c>
      <c r="F128" s="5" t="s">
        <v>412</v>
      </c>
      <c r="G128" s="5"/>
      <c r="H128" s="5"/>
      <c r="I128" s="5" t="s">
        <v>35</v>
      </c>
    </row>
    <row r="129" customFormat="false" ht="15" hidden="false" customHeight="false" outlineLevel="0" collapsed="false">
      <c r="A129" s="5" t="s">
        <v>150</v>
      </c>
      <c r="B129" s="5" t="str">
        <f aca="false">IFERROR(IF(A129="","",VLOOKUP(A129,Clientes!$A$3:$B$202,2,FALSE())),"")</f>
        <v>MULEGE (BC)</v>
      </c>
      <c r="C129" s="5" t="s">
        <v>275</v>
      </c>
      <c r="D129" s="5"/>
      <c r="E129" s="5"/>
      <c r="F129" s="5"/>
      <c r="G129" s="5"/>
      <c r="H129" s="5" t="s">
        <v>379</v>
      </c>
      <c r="I129" s="5" t="s">
        <v>35</v>
      </c>
    </row>
    <row r="130" customFormat="false" ht="15" hidden="false" customHeight="false" outlineLevel="0" collapsed="false">
      <c r="A130" s="5" t="s">
        <v>150</v>
      </c>
      <c r="B130" s="5" t="str">
        <f aca="false">IFERROR(IF(A130="","",VLOOKUP(A130,Clientes!$A$3:$B$202,2,FALSE())),"")</f>
        <v>MULEGE (BC)</v>
      </c>
      <c r="C130" s="5" t="s">
        <v>212</v>
      </c>
      <c r="D130" s="5"/>
      <c r="E130" s="5" t="s">
        <v>413</v>
      </c>
      <c r="F130" s="5" t="s">
        <v>414</v>
      </c>
      <c r="G130" s="5"/>
      <c r="H130" s="5" t="s">
        <v>379</v>
      </c>
      <c r="I130" s="5" t="s">
        <v>35</v>
      </c>
    </row>
    <row r="131" customFormat="false" ht="15" hidden="false" customHeight="false" outlineLevel="0" collapsed="false">
      <c r="A131" s="5" t="s">
        <v>150</v>
      </c>
      <c r="B131" s="5" t="str">
        <f aca="false">IFERROR(IF(A131="","",VLOOKUP(A131,Clientes!$A$3:$B$202,2,FALSE())),"")</f>
        <v>MULEGE (BC)</v>
      </c>
      <c r="C131" s="5" t="s">
        <v>216</v>
      </c>
      <c r="D131" s="5"/>
      <c r="E131" s="5" t="s">
        <v>413</v>
      </c>
      <c r="F131" s="5" t="s">
        <v>415</v>
      </c>
      <c r="G131" s="5"/>
      <c r="H131" s="5" t="s">
        <v>379</v>
      </c>
      <c r="I131" s="5" t="s">
        <v>35</v>
      </c>
    </row>
    <row r="132" customFormat="false" ht="15" hidden="false" customHeight="false" outlineLevel="0" collapsed="false">
      <c r="A132" s="5" t="s">
        <v>150</v>
      </c>
      <c r="B132" s="5" t="str">
        <f aca="false">IFERROR(IF(A132="","",VLOOKUP(A132,Clientes!$A$3:$B$202,2,FALSE())),"")</f>
        <v>MULEGE (BC)</v>
      </c>
      <c r="C132" s="5" t="s">
        <v>212</v>
      </c>
      <c r="D132" s="5"/>
      <c r="E132" s="5" t="s">
        <v>416</v>
      </c>
      <c r="F132" s="5" t="s">
        <v>417</v>
      </c>
      <c r="G132" s="5"/>
      <c r="H132" s="5"/>
      <c r="I132" s="5" t="s">
        <v>35</v>
      </c>
    </row>
    <row r="133" customFormat="false" ht="15" hidden="false" customHeight="false" outlineLevel="0" collapsed="false">
      <c r="A133" s="5" t="s">
        <v>150</v>
      </c>
      <c r="B133" s="5" t="str">
        <f aca="false">IFERROR(IF(A133="","",VLOOKUP(A133,Clientes!$A$3:$B$202,2,FALSE())),"")</f>
        <v>MULEGE (BC)</v>
      </c>
      <c r="C133" s="5" t="s">
        <v>212</v>
      </c>
      <c r="D133" s="5"/>
      <c r="E133" s="5" t="s">
        <v>418</v>
      </c>
      <c r="F133" s="5" t="s">
        <v>419</v>
      </c>
      <c r="G133" s="5"/>
      <c r="H133" s="5"/>
      <c r="I133" s="5" t="s">
        <v>35</v>
      </c>
    </row>
    <row r="134" customFormat="false" ht="15" hidden="false" customHeight="false" outlineLevel="0" collapsed="false">
      <c r="A134" s="5" t="s">
        <v>150</v>
      </c>
      <c r="B134" s="5" t="str">
        <f aca="false">IFERROR(IF(A134="","",VLOOKUP(A134,Clientes!$A$3:$B$202,2,FALSE())),"")</f>
        <v>MULEGE (BC)</v>
      </c>
      <c r="C134" s="5" t="s">
        <v>216</v>
      </c>
      <c r="D134" s="5"/>
      <c r="E134" s="5" t="s">
        <v>418</v>
      </c>
      <c r="F134" s="5" t="s">
        <v>420</v>
      </c>
      <c r="G134" s="5"/>
      <c r="H134" s="5"/>
      <c r="I134" s="5" t="s">
        <v>35</v>
      </c>
    </row>
    <row r="135" customFormat="false" ht="15" hidden="false" customHeight="false" outlineLevel="0" collapsed="false">
      <c r="A135" s="5" t="s">
        <v>150</v>
      </c>
      <c r="B135" s="5" t="str">
        <f aca="false">IFERROR(IF(A135="","",VLOOKUP(A135,Clientes!$A$3:$B$202,2,FALSE())),"")</f>
        <v>MULEGE (BC)</v>
      </c>
      <c r="C135" s="5" t="s">
        <v>212</v>
      </c>
      <c r="D135" s="5"/>
      <c r="E135" s="5" t="s">
        <v>421</v>
      </c>
      <c r="F135" s="5" t="s">
        <v>422</v>
      </c>
      <c r="G135" s="5"/>
      <c r="H135" s="5"/>
      <c r="I135" s="5" t="s">
        <v>35</v>
      </c>
    </row>
    <row r="136" customFormat="false" ht="15" hidden="false" customHeight="false" outlineLevel="0" collapsed="false">
      <c r="A136" s="5" t="s">
        <v>150</v>
      </c>
      <c r="B136" s="5" t="str">
        <f aca="false">IFERROR(IF(A136="","",VLOOKUP(A136,Clientes!$A$3:$B$202,2,FALSE())),"")</f>
        <v>MULEGE (BC)</v>
      </c>
      <c r="C136" s="5" t="s">
        <v>216</v>
      </c>
      <c r="D136" s="5"/>
      <c r="E136" s="5" t="s">
        <v>421</v>
      </c>
      <c r="F136" s="5" t="s">
        <v>423</v>
      </c>
      <c r="G136" s="5"/>
      <c r="H136" s="5"/>
      <c r="I136" s="5" t="s">
        <v>35</v>
      </c>
    </row>
    <row r="137" customFormat="false" ht="15" hidden="false" customHeight="false" outlineLevel="0" collapsed="false">
      <c r="A137" s="5" t="s">
        <v>150</v>
      </c>
      <c r="B137" s="5" t="str">
        <f aca="false">IFERROR(IF(A137="","",VLOOKUP(A137,Clientes!$A$3:$B$202,2,FALSE())),"")</f>
        <v>MULEGE (BC)</v>
      </c>
      <c r="C137" s="5" t="s">
        <v>212</v>
      </c>
      <c r="D137" s="5"/>
      <c r="E137" s="5" t="s">
        <v>381</v>
      </c>
      <c r="F137" s="5" t="s">
        <v>424</v>
      </c>
      <c r="G137" s="5"/>
      <c r="H137" s="5" t="s">
        <v>379</v>
      </c>
      <c r="I137" s="5" t="s">
        <v>35</v>
      </c>
    </row>
    <row r="138" customFormat="false" ht="15" hidden="false" customHeight="false" outlineLevel="0" collapsed="false">
      <c r="A138" s="5" t="s">
        <v>150</v>
      </c>
      <c r="B138" s="5" t="str">
        <f aca="false">IFERROR(IF(A138="","",VLOOKUP(A138,Clientes!$A$3:$B$202,2,FALSE())),"")</f>
        <v>MULEGE (BC)</v>
      </c>
      <c r="C138" s="5" t="s">
        <v>216</v>
      </c>
      <c r="D138" s="5"/>
      <c r="E138" s="5" t="s">
        <v>381</v>
      </c>
      <c r="F138" s="5" t="s">
        <v>383</v>
      </c>
      <c r="G138" s="5"/>
      <c r="H138" s="5" t="s">
        <v>379</v>
      </c>
      <c r="I138" s="5" t="s">
        <v>35</v>
      </c>
    </row>
    <row r="139" customFormat="false" ht="15" hidden="false" customHeight="false" outlineLevel="0" collapsed="false">
      <c r="A139" s="5" t="s">
        <v>150</v>
      </c>
      <c r="B139" s="5" t="str">
        <f aca="false">IFERROR(IF(A139="","",VLOOKUP(A139,Clientes!$A$3:$B$202,2,FALSE())),"")</f>
        <v>MULEGE (BC)</v>
      </c>
      <c r="C139" s="5" t="s">
        <v>216</v>
      </c>
      <c r="D139" s="5"/>
      <c r="E139" s="5" t="s">
        <v>425</v>
      </c>
      <c r="F139" s="5" t="s">
        <v>426</v>
      </c>
      <c r="G139" s="5"/>
      <c r="H139" s="5"/>
      <c r="I139" s="5" t="s">
        <v>35</v>
      </c>
    </row>
    <row r="140" customFormat="false" ht="15" hidden="false" customHeight="false" outlineLevel="0" collapsed="false">
      <c r="A140" s="5" t="s">
        <v>150</v>
      </c>
      <c r="B140" s="5" t="str">
        <f aca="false">IFERROR(IF(A140="","",VLOOKUP(A140,Clientes!$A$3:$B$202,2,FALSE())),"")</f>
        <v>MULEGE (BC)</v>
      </c>
      <c r="C140" s="5" t="s">
        <v>212</v>
      </c>
      <c r="D140" s="5"/>
      <c r="E140" s="5" t="s">
        <v>427</v>
      </c>
      <c r="F140" s="5" t="s">
        <v>428</v>
      </c>
      <c r="G140" s="5"/>
      <c r="H140" s="5"/>
      <c r="I140" s="5" t="s">
        <v>35</v>
      </c>
    </row>
    <row r="141" customFormat="false" ht="15" hidden="false" customHeight="false" outlineLevel="0" collapsed="false">
      <c r="A141" s="5" t="s">
        <v>150</v>
      </c>
      <c r="B141" s="5" t="str">
        <f aca="false">IFERROR(IF(A141="","",VLOOKUP(A141,Clientes!$A$3:$B$202,2,FALSE())),"")</f>
        <v>MULEGE (BC)</v>
      </c>
      <c r="C141" s="5" t="s">
        <v>216</v>
      </c>
      <c r="D141" s="5"/>
      <c r="E141" s="5" t="s">
        <v>427</v>
      </c>
      <c r="F141" s="5" t="s">
        <v>429</v>
      </c>
      <c r="G141" s="5"/>
      <c r="H141" s="5"/>
      <c r="I141" s="5" t="s">
        <v>35</v>
      </c>
    </row>
    <row r="142" customFormat="false" ht="15" hidden="false" customHeight="false" outlineLevel="0" collapsed="false">
      <c r="A142" s="5" t="s">
        <v>150</v>
      </c>
      <c r="B142" s="5" t="str">
        <f aca="false">IFERROR(IF(A142="","",VLOOKUP(A142,Clientes!$A$3:$B$202,2,FALSE())),"")</f>
        <v>MULEGE (BC)</v>
      </c>
      <c r="C142" s="5" t="s">
        <v>212</v>
      </c>
      <c r="D142" s="5"/>
      <c r="E142" s="5" t="s">
        <v>430</v>
      </c>
      <c r="F142" s="5" t="s">
        <v>431</v>
      </c>
      <c r="G142" s="5"/>
      <c r="H142" s="5"/>
      <c r="I142" s="5" t="s">
        <v>35</v>
      </c>
    </row>
    <row r="143" customFormat="false" ht="15" hidden="false" customHeight="false" outlineLevel="0" collapsed="false">
      <c r="A143" s="5" t="s">
        <v>150</v>
      </c>
      <c r="B143" s="5" t="str">
        <f aca="false">IFERROR(IF(A143="","",VLOOKUP(A143,Clientes!$A$3:$B$202,2,FALSE())),"")</f>
        <v>MULEGE (BC)</v>
      </c>
      <c r="C143" s="5" t="s">
        <v>216</v>
      </c>
      <c r="D143" s="5"/>
      <c r="E143" s="5" t="s">
        <v>430</v>
      </c>
      <c r="F143" s="5" t="s">
        <v>432</v>
      </c>
      <c r="G143" s="5"/>
      <c r="H143" s="5"/>
      <c r="I143" s="5" t="s">
        <v>35</v>
      </c>
    </row>
    <row r="144" customFormat="false" ht="15" hidden="false" customHeight="false" outlineLevel="0" collapsed="false">
      <c r="A144" s="5" t="s">
        <v>150</v>
      </c>
      <c r="B144" s="5" t="str">
        <f aca="false">IFERROR(IF(A144="","",VLOOKUP(A144,Clientes!$A$3:$B$202,2,FALSE())),"")</f>
        <v>MULEGE (BC)</v>
      </c>
      <c r="C144" s="5" t="s">
        <v>212</v>
      </c>
      <c r="D144" s="5"/>
      <c r="E144" s="5" t="s">
        <v>433</v>
      </c>
      <c r="F144" s="5" t="s">
        <v>434</v>
      </c>
      <c r="G144" s="5"/>
      <c r="H144" s="5"/>
      <c r="I144" s="5" t="s">
        <v>35</v>
      </c>
    </row>
    <row r="145" customFormat="false" ht="15" hidden="false" customHeight="false" outlineLevel="0" collapsed="false">
      <c r="A145" s="5" t="s">
        <v>150</v>
      </c>
      <c r="B145" s="5" t="str">
        <f aca="false">IFERROR(IF(A145="","",VLOOKUP(A145,Clientes!$A$3:$B$202,2,FALSE())),"")</f>
        <v>MULEGE (BC)</v>
      </c>
      <c r="C145" s="5" t="s">
        <v>212</v>
      </c>
      <c r="D145" s="5"/>
      <c r="E145" s="5" t="s">
        <v>435</v>
      </c>
      <c r="F145" s="5" t="s">
        <v>436</v>
      </c>
      <c r="G145" s="5"/>
      <c r="H145" s="5" t="s">
        <v>379</v>
      </c>
      <c r="I145" s="5" t="s">
        <v>35</v>
      </c>
    </row>
    <row r="146" customFormat="false" ht="15" hidden="false" customHeight="false" outlineLevel="0" collapsed="false">
      <c r="A146" s="5" t="s">
        <v>150</v>
      </c>
      <c r="B146" s="5" t="str">
        <f aca="false">IFERROR(IF(A146="","",VLOOKUP(A146,Clientes!$A$3:$B$202,2,FALSE())),"")</f>
        <v>MULEGE (BC)</v>
      </c>
      <c r="C146" s="5" t="s">
        <v>216</v>
      </c>
      <c r="D146" s="5"/>
      <c r="E146" s="5" t="s">
        <v>435</v>
      </c>
      <c r="F146" s="5" t="s">
        <v>437</v>
      </c>
      <c r="G146" s="5"/>
      <c r="H146" s="5" t="s">
        <v>379</v>
      </c>
      <c r="I146" s="5" t="s">
        <v>35</v>
      </c>
    </row>
    <row r="147" customFormat="false" ht="15" hidden="false" customHeight="false" outlineLevel="0" collapsed="false">
      <c r="A147" s="5" t="s">
        <v>150</v>
      </c>
      <c r="B147" s="5" t="str">
        <f aca="false">IFERROR(IF(A147="","",VLOOKUP(A147,Clientes!$A$3:$B$202,2,FALSE())),"")</f>
        <v>MULEGE (BC)</v>
      </c>
      <c r="C147" s="5" t="s">
        <v>212</v>
      </c>
      <c r="D147" s="5"/>
      <c r="E147" s="5" t="s">
        <v>438</v>
      </c>
      <c r="F147" s="5" t="s">
        <v>439</v>
      </c>
      <c r="G147" s="5"/>
      <c r="H147" s="5" t="s">
        <v>379</v>
      </c>
      <c r="I147" s="5" t="s">
        <v>35</v>
      </c>
    </row>
    <row r="148" customFormat="false" ht="15" hidden="false" customHeight="false" outlineLevel="0" collapsed="false">
      <c r="A148" s="5" t="s">
        <v>150</v>
      </c>
      <c r="B148" s="5" t="str">
        <f aca="false">IFERROR(IF(A148="","",VLOOKUP(A148,Clientes!$A$3:$B$202,2,FALSE())),"")</f>
        <v>MULEGE (BC)</v>
      </c>
      <c r="C148" s="5" t="s">
        <v>216</v>
      </c>
      <c r="D148" s="5"/>
      <c r="E148" s="5" t="s">
        <v>438</v>
      </c>
      <c r="F148" s="5" t="s">
        <v>440</v>
      </c>
      <c r="G148" s="5"/>
      <c r="H148" s="5" t="s">
        <v>379</v>
      </c>
      <c r="I148" s="5" t="s">
        <v>35</v>
      </c>
    </row>
    <row r="149" customFormat="false" ht="15" hidden="false" customHeight="false" outlineLevel="0" collapsed="false">
      <c r="A149" s="5" t="s">
        <v>150</v>
      </c>
      <c r="B149" s="5" t="str">
        <f aca="false">IFERROR(IF(A149="","",VLOOKUP(A149,Clientes!$A$3:$B$202,2,FALSE())),"")</f>
        <v>MULEGE (BC)</v>
      </c>
      <c r="C149" s="5" t="s">
        <v>212</v>
      </c>
      <c r="D149" s="5"/>
      <c r="E149" s="5" t="s">
        <v>441</v>
      </c>
      <c r="F149" s="5" t="s">
        <v>442</v>
      </c>
      <c r="G149" s="5"/>
      <c r="H149" s="5"/>
      <c r="I149" s="5" t="s">
        <v>35</v>
      </c>
    </row>
    <row r="150" customFormat="false" ht="15" hidden="false" customHeight="false" outlineLevel="0" collapsed="false">
      <c r="A150" s="5" t="s">
        <v>150</v>
      </c>
      <c r="B150" s="5" t="str">
        <f aca="false">IFERROR(IF(A150="","",VLOOKUP(A150,Clientes!$A$3:$B$202,2,FALSE())),"")</f>
        <v>MULEGE (BC)</v>
      </c>
      <c r="C150" s="5" t="s">
        <v>216</v>
      </c>
      <c r="D150" s="5"/>
      <c r="E150" s="5" t="s">
        <v>441</v>
      </c>
      <c r="F150" s="5" t="s">
        <v>443</v>
      </c>
      <c r="G150" s="5"/>
      <c r="H150" s="5"/>
      <c r="I150" s="5" t="s">
        <v>35</v>
      </c>
    </row>
    <row r="151" customFormat="false" ht="15" hidden="false" customHeight="false" outlineLevel="0" collapsed="false">
      <c r="A151" s="5" t="s">
        <v>150</v>
      </c>
      <c r="B151" s="5" t="str">
        <f aca="false">IFERROR(IF(A151="","",VLOOKUP(A151,Clientes!$A$3:$B$202,2,FALSE())),"")</f>
        <v>MULEGE (BC)</v>
      </c>
      <c r="C151" s="5" t="s">
        <v>212</v>
      </c>
      <c r="D151" s="5"/>
      <c r="E151" s="5" t="s">
        <v>444</v>
      </c>
      <c r="F151" s="5" t="s">
        <v>445</v>
      </c>
      <c r="G151" s="5"/>
      <c r="H151" s="5"/>
      <c r="I151" s="5" t="s">
        <v>35</v>
      </c>
    </row>
    <row r="152" customFormat="false" ht="20.85" hidden="false" customHeight="false" outlineLevel="0" collapsed="false">
      <c r="A152" s="5" t="s">
        <v>150</v>
      </c>
      <c r="B152" s="5" t="str">
        <f aca="false">IFERROR(IF(A152="","",VLOOKUP(A152,Clientes!$A$3:$B$202,2,FALSE())),"")</f>
        <v>MULEGE (BC)</v>
      </c>
      <c r="C152" s="5" t="s">
        <v>212</v>
      </c>
      <c r="D152" s="5" t="s">
        <v>446</v>
      </c>
      <c r="E152" s="5" t="s">
        <v>447</v>
      </c>
      <c r="F152" s="5" t="s">
        <v>448</v>
      </c>
      <c r="G152" s="5"/>
      <c r="H152" s="5" t="s">
        <v>449</v>
      </c>
      <c r="I152" s="5" t="s">
        <v>35</v>
      </c>
    </row>
    <row r="153" customFormat="false" ht="15" hidden="false" customHeight="false" outlineLevel="0" collapsed="false">
      <c r="A153" s="5" t="s">
        <v>167</v>
      </c>
      <c r="B153" s="5" t="str">
        <f aca="false">IFERROR(IF(A153="","",VLOOKUP(A153,Clientes!$A$3:$B$202,2,FALSE())),"")</f>
        <v>TECOZAUTLA</v>
      </c>
      <c r="C153" s="5" t="s">
        <v>212</v>
      </c>
      <c r="D153" s="5"/>
      <c r="E153" s="5" t="s">
        <v>450</v>
      </c>
      <c r="F153" s="5" t="s">
        <v>451</v>
      </c>
      <c r="G153" s="5"/>
      <c r="H153" s="5"/>
      <c r="I153" s="5" t="s">
        <v>35</v>
      </c>
    </row>
    <row r="154" customFormat="false" ht="15" hidden="false" customHeight="false" outlineLevel="0" collapsed="false">
      <c r="A154" s="5" t="s">
        <v>167</v>
      </c>
      <c r="B154" s="5" t="str">
        <f aca="false">IFERROR(IF(A154="","",VLOOKUP(A154,Clientes!$A$3:$B$202,2,FALSE())),"")</f>
        <v>TECOZAUTLA</v>
      </c>
      <c r="C154" s="5" t="s">
        <v>212</v>
      </c>
      <c r="D154" s="5"/>
      <c r="E154" s="5" t="s">
        <v>452</v>
      </c>
      <c r="F154" s="5" t="s">
        <v>453</v>
      </c>
      <c r="G154" s="5"/>
      <c r="H154" s="5" t="s">
        <v>454</v>
      </c>
      <c r="I154" s="5" t="s">
        <v>35</v>
      </c>
    </row>
    <row r="155" customFormat="false" ht="15" hidden="false" customHeight="false" outlineLevel="0" collapsed="false">
      <c r="A155" s="5" t="s">
        <v>167</v>
      </c>
      <c r="B155" s="5" t="str">
        <f aca="false">IFERROR(IF(A155="","",VLOOKUP(A155,Clientes!$A$3:$B$202,2,FALSE())),"")</f>
        <v>TECOZAUTLA</v>
      </c>
      <c r="C155" s="5" t="s">
        <v>216</v>
      </c>
      <c r="D155" s="5"/>
      <c r="E155" s="5" t="s">
        <v>452</v>
      </c>
      <c r="F155" s="5" t="s">
        <v>455</v>
      </c>
      <c r="G155" s="5"/>
      <c r="H155" s="5" t="s">
        <v>454</v>
      </c>
      <c r="I155" s="5" t="s">
        <v>35</v>
      </c>
    </row>
    <row r="156" customFormat="false" ht="15" hidden="false" customHeight="false" outlineLevel="0" collapsed="false">
      <c r="A156" s="5" t="s">
        <v>167</v>
      </c>
      <c r="B156" s="5" t="str">
        <f aca="false">IFERROR(IF(A156="","",VLOOKUP(A156,Clientes!$A$3:$B$202,2,FALSE())),"")</f>
        <v>TECOZAUTLA</v>
      </c>
      <c r="C156" s="5" t="s">
        <v>212</v>
      </c>
      <c r="D156" s="5"/>
      <c r="E156" s="5" t="s">
        <v>456</v>
      </c>
      <c r="F156" s="5" t="s">
        <v>457</v>
      </c>
      <c r="G156" s="5"/>
      <c r="H156" s="5"/>
      <c r="I156" s="5" t="s">
        <v>35</v>
      </c>
    </row>
    <row r="157" customFormat="false" ht="15" hidden="false" customHeight="false" outlineLevel="0" collapsed="false">
      <c r="A157" s="5" t="s">
        <v>167</v>
      </c>
      <c r="B157" s="5" t="str">
        <f aca="false">IFERROR(IF(A157="","",VLOOKUP(A157,Clientes!$A$3:$B$202,2,FALSE())),"")</f>
        <v>TECOZAUTLA</v>
      </c>
      <c r="C157" s="5" t="s">
        <v>212</v>
      </c>
      <c r="D157" s="5"/>
      <c r="E157" s="5" t="s">
        <v>458</v>
      </c>
      <c r="F157" s="5" t="s">
        <v>459</v>
      </c>
      <c r="G157" s="5"/>
      <c r="H157" s="5"/>
      <c r="I157" s="5" t="s">
        <v>35</v>
      </c>
    </row>
    <row r="158" customFormat="false" ht="15" hidden="false" customHeight="false" outlineLevel="0" collapsed="false">
      <c r="A158" s="5" t="s">
        <v>167</v>
      </c>
      <c r="B158" s="5" t="str">
        <f aca="false">IFERROR(IF(A158="","",VLOOKUP(A158,Clientes!$A$3:$B$202,2,FALSE())),"")</f>
        <v>TECOZAUTLA</v>
      </c>
      <c r="C158" s="5" t="s">
        <v>216</v>
      </c>
      <c r="D158" s="5"/>
      <c r="E158" s="5" t="s">
        <v>458</v>
      </c>
      <c r="F158" s="5" t="s">
        <v>460</v>
      </c>
      <c r="G158" s="5"/>
      <c r="H158" s="5"/>
      <c r="I158" s="5" t="s">
        <v>35</v>
      </c>
    </row>
    <row r="159" customFormat="false" ht="15" hidden="false" customHeight="false" outlineLevel="0" collapsed="false">
      <c r="A159" s="5" t="s">
        <v>167</v>
      </c>
      <c r="B159" s="5" t="str">
        <f aca="false">IFERROR(IF(A159="","",VLOOKUP(A159,Clientes!$A$3:$B$202,2,FALSE())),"")</f>
        <v>TECOZAUTLA</v>
      </c>
      <c r="C159" s="5" t="s">
        <v>212</v>
      </c>
      <c r="D159" s="5"/>
      <c r="E159" s="5" t="s">
        <v>461</v>
      </c>
      <c r="F159" s="5" t="s">
        <v>462</v>
      </c>
      <c r="G159" s="5"/>
      <c r="H159" s="5"/>
      <c r="I159" s="5" t="s">
        <v>35</v>
      </c>
    </row>
    <row r="160" customFormat="false" ht="15" hidden="false" customHeight="false" outlineLevel="0" collapsed="false">
      <c r="A160" s="5" t="s">
        <v>167</v>
      </c>
      <c r="B160" s="5" t="str">
        <f aca="false">IFERROR(IF(A160="","",VLOOKUP(A160,Clientes!$A$3:$B$202,2,FALSE())),"")</f>
        <v>TECOZAUTLA</v>
      </c>
      <c r="C160" s="5" t="s">
        <v>216</v>
      </c>
      <c r="D160" s="5"/>
      <c r="E160" s="5" t="s">
        <v>461</v>
      </c>
      <c r="F160" s="5" t="s">
        <v>463</v>
      </c>
      <c r="G160" s="5"/>
      <c r="H160" s="5"/>
      <c r="I160" s="5" t="s">
        <v>35</v>
      </c>
    </row>
    <row r="161" customFormat="false" ht="15" hidden="false" customHeight="false" outlineLevel="0" collapsed="false">
      <c r="A161" s="5" t="s">
        <v>167</v>
      </c>
      <c r="B161" s="5" t="str">
        <f aca="false">IFERROR(IF(A161="","",VLOOKUP(A161,Clientes!$A$3:$B$202,2,FALSE())),"")</f>
        <v>TECOZAUTLA</v>
      </c>
      <c r="C161" s="5" t="s">
        <v>212</v>
      </c>
      <c r="D161" s="5"/>
      <c r="E161" s="5"/>
      <c r="F161" s="5" t="s">
        <v>464</v>
      </c>
      <c r="G161" s="5"/>
      <c r="H161" s="5"/>
      <c r="I161" s="5" t="s">
        <v>35</v>
      </c>
    </row>
    <row r="162" customFormat="false" ht="15" hidden="false" customHeight="false" outlineLevel="0" collapsed="false">
      <c r="A162" s="5" t="s">
        <v>167</v>
      </c>
      <c r="B162" s="5" t="str">
        <f aca="false">IFERROR(IF(A162="","",VLOOKUP(A162,Clientes!$A$3:$B$202,2,FALSE())),"")</f>
        <v>TECOZAUTLA</v>
      </c>
      <c r="C162" s="5" t="s">
        <v>212</v>
      </c>
      <c r="D162" s="5"/>
      <c r="E162" s="5"/>
      <c r="F162" s="5" t="s">
        <v>465</v>
      </c>
      <c r="G162" s="5"/>
      <c r="H162" s="5"/>
      <c r="I162" s="5" t="s">
        <v>35</v>
      </c>
    </row>
    <row r="163" customFormat="false" ht="15" hidden="false" customHeight="false" outlineLevel="0" collapsed="false">
      <c r="A163" s="5" t="s">
        <v>167</v>
      </c>
      <c r="B163" s="5" t="str">
        <f aca="false">IFERROR(IF(A163="","",VLOOKUP(A163,Clientes!$A$3:$B$202,2,FALSE())),"")</f>
        <v>TECOZAUTLA</v>
      </c>
      <c r="C163" s="5" t="s">
        <v>212</v>
      </c>
      <c r="D163" s="5"/>
      <c r="E163" s="5"/>
      <c r="F163" s="5" t="s">
        <v>466</v>
      </c>
      <c r="G163" s="5"/>
      <c r="H163" s="5"/>
      <c r="I163" s="5" t="s">
        <v>35</v>
      </c>
    </row>
    <row r="164" customFormat="false" ht="15" hidden="false" customHeight="false" outlineLevel="0" collapsed="false">
      <c r="A164" s="5" t="s">
        <v>167</v>
      </c>
      <c r="B164" s="5" t="str">
        <f aca="false">IFERROR(IF(A164="","",VLOOKUP(A164,Clientes!$A$3:$B$202,2,FALSE())),"")</f>
        <v>TECOZAUTLA</v>
      </c>
      <c r="C164" s="5" t="s">
        <v>212</v>
      </c>
      <c r="D164" s="5"/>
      <c r="E164" s="5"/>
      <c r="F164" s="5" t="s">
        <v>467</v>
      </c>
      <c r="G164" s="5"/>
      <c r="H164" s="5"/>
      <c r="I164" s="5" t="s">
        <v>35</v>
      </c>
    </row>
    <row r="165" customFormat="false" ht="15" hidden="false" customHeight="false" outlineLevel="0" collapsed="false">
      <c r="A165" s="5" t="s">
        <v>167</v>
      </c>
      <c r="B165" s="5" t="str">
        <f aca="false">IFERROR(IF(A165="","",VLOOKUP(A165,Clientes!$A$3:$B$202,2,FALSE())),"")</f>
        <v>TECOZAUTLA</v>
      </c>
      <c r="C165" s="5" t="s">
        <v>212</v>
      </c>
      <c r="D165" s="5" t="s">
        <v>468</v>
      </c>
      <c r="E165" s="5" t="s">
        <v>469</v>
      </c>
      <c r="F165" s="5" t="s">
        <v>470</v>
      </c>
      <c r="G165" s="5"/>
      <c r="H165" s="5"/>
      <c r="I165" s="5" t="s">
        <v>35</v>
      </c>
    </row>
    <row r="166" customFormat="false" ht="15" hidden="false" customHeight="false" outlineLevel="0" collapsed="false">
      <c r="A166" s="5" t="s">
        <v>167</v>
      </c>
      <c r="B166" s="5" t="str">
        <f aca="false">IFERROR(IF(A166="","",VLOOKUP(A166,Clientes!$A$3:$B$202,2,FALSE())),"")</f>
        <v>TECOZAUTLA</v>
      </c>
      <c r="C166" s="5" t="s">
        <v>216</v>
      </c>
      <c r="D166" s="5" t="s">
        <v>468</v>
      </c>
      <c r="E166" s="5" t="s">
        <v>469</v>
      </c>
      <c r="F166" s="5" t="s">
        <v>471</v>
      </c>
      <c r="G166" s="5"/>
      <c r="H166" s="5"/>
      <c r="I166" s="5" t="s">
        <v>35</v>
      </c>
    </row>
    <row r="167" customFormat="false" ht="15" hidden="false" customHeight="false" outlineLevel="0" collapsed="false">
      <c r="A167" s="5" t="s">
        <v>167</v>
      </c>
      <c r="B167" s="5" t="str">
        <f aca="false">IFERROR(IF(A167="","",VLOOKUP(A167,Clientes!$A$3:$B$202,2,FALSE())),"")</f>
        <v>TECOZAUTLA</v>
      </c>
      <c r="C167" s="5" t="s">
        <v>212</v>
      </c>
      <c r="D167" s="5"/>
      <c r="E167" s="5" t="s">
        <v>472</v>
      </c>
      <c r="F167" s="5" t="s">
        <v>473</v>
      </c>
      <c r="G167" s="5"/>
      <c r="H167" s="5"/>
      <c r="I167" s="5" t="s">
        <v>35</v>
      </c>
    </row>
    <row r="168" customFormat="false" ht="15" hidden="false" customHeight="false" outlineLevel="0" collapsed="false">
      <c r="A168" s="5" t="s">
        <v>167</v>
      </c>
      <c r="B168" s="5" t="str">
        <f aca="false">IFERROR(IF(A168="","",VLOOKUP(A168,Clientes!$A$3:$B$202,2,FALSE())),"")</f>
        <v>TECOZAUTLA</v>
      </c>
      <c r="C168" s="5" t="s">
        <v>216</v>
      </c>
      <c r="D168" s="5"/>
      <c r="E168" s="5" t="s">
        <v>472</v>
      </c>
      <c r="F168" s="5" t="s">
        <v>474</v>
      </c>
      <c r="G168" s="5"/>
      <c r="H168" s="5"/>
      <c r="I168" s="5" t="s">
        <v>35</v>
      </c>
    </row>
    <row r="169" customFormat="false" ht="15" hidden="false" customHeight="false" outlineLevel="0" collapsed="false">
      <c r="A169" s="5" t="s">
        <v>167</v>
      </c>
      <c r="B169" s="5" t="str">
        <f aca="false">IFERROR(IF(A169="","",VLOOKUP(A169,Clientes!$A$3:$B$202,2,FALSE())),"")</f>
        <v>TECOZAUTLA</v>
      </c>
      <c r="C169" s="5" t="s">
        <v>212</v>
      </c>
      <c r="D169" s="5"/>
      <c r="E169" s="5" t="s">
        <v>475</v>
      </c>
      <c r="F169" s="5" t="s">
        <v>476</v>
      </c>
      <c r="G169" s="5"/>
      <c r="H169" s="5"/>
      <c r="I169" s="5" t="s">
        <v>35</v>
      </c>
    </row>
    <row r="170" customFormat="false" ht="15" hidden="false" customHeight="false" outlineLevel="0" collapsed="false">
      <c r="A170" s="5" t="s">
        <v>167</v>
      </c>
      <c r="B170" s="5" t="str">
        <f aca="false">IFERROR(IF(A170="","",VLOOKUP(A170,Clientes!$A$3:$B$202,2,FALSE())),"")</f>
        <v>TECOZAUTLA</v>
      </c>
      <c r="C170" s="5" t="s">
        <v>216</v>
      </c>
      <c r="D170" s="5"/>
      <c r="E170" s="5" t="s">
        <v>475</v>
      </c>
      <c r="F170" s="5" t="s">
        <v>477</v>
      </c>
      <c r="G170" s="5"/>
      <c r="H170" s="5"/>
      <c r="I170" s="5" t="s">
        <v>35</v>
      </c>
    </row>
    <row r="171" customFormat="false" ht="30.55" hidden="false" customHeight="false" outlineLevel="0" collapsed="false">
      <c r="A171" s="5" t="s">
        <v>108</v>
      </c>
      <c r="B171" s="5" t="str">
        <f aca="false">IFERROR(IF(A171="","",VLOOKUP(A171,Clientes!$A$3:$B$202,2,FALSE())),"")</f>
        <v>GARIN ETIQUETAS</v>
      </c>
      <c r="C171" s="5" t="s">
        <v>216</v>
      </c>
      <c r="D171" s="5" t="s">
        <v>478</v>
      </c>
      <c r="E171" s="5" t="s">
        <v>213</v>
      </c>
      <c r="F171" s="5" t="s">
        <v>479</v>
      </c>
      <c r="G171" s="5" t="s">
        <v>480</v>
      </c>
      <c r="H171" s="5" t="s">
        <v>481</v>
      </c>
      <c r="I171" s="5" t="s">
        <v>35</v>
      </c>
    </row>
    <row r="172" customFormat="false" ht="15" hidden="false" customHeight="false" outlineLevel="0" collapsed="false">
      <c r="A172" s="5" t="s">
        <v>108</v>
      </c>
      <c r="B172" s="5" t="str">
        <f aca="false">IFERROR(IF(A172="","",VLOOKUP(A172,Clientes!$A$3:$B$202,2,FALSE())),"")</f>
        <v>GARIN ETIQUETAS</v>
      </c>
      <c r="C172" s="5" t="s">
        <v>216</v>
      </c>
      <c r="D172" s="5"/>
      <c r="E172" s="5" t="s">
        <v>482</v>
      </c>
      <c r="F172" s="5" t="s">
        <v>483</v>
      </c>
      <c r="G172" s="5" t="s">
        <v>384</v>
      </c>
      <c r="H172" s="5"/>
      <c r="I172" s="5" t="s">
        <v>35</v>
      </c>
    </row>
    <row r="173" customFormat="false" ht="69.4" hidden="false" customHeight="false" outlineLevel="0" collapsed="false">
      <c r="A173" s="5" t="s">
        <v>76</v>
      </c>
      <c r="B173" s="5" t="str">
        <f aca="false">IFERROR(IF(A173="","",VLOOKUP(A173,Clientes!$A$3:$B$202,2,FALSE())),"")</f>
        <v>CLASS LABELS</v>
      </c>
      <c r="C173" s="5" t="s">
        <v>216</v>
      </c>
      <c r="D173" s="5" t="s">
        <v>484</v>
      </c>
      <c r="E173" s="5" t="s">
        <v>485</v>
      </c>
      <c r="F173" s="5" t="s">
        <v>486</v>
      </c>
      <c r="G173" s="5" t="s">
        <v>487</v>
      </c>
      <c r="H173" s="5" t="s">
        <v>488</v>
      </c>
      <c r="I173" s="5" t="s">
        <v>35</v>
      </c>
    </row>
    <row r="174" customFormat="false" ht="20.85" hidden="false" customHeight="false" outlineLevel="0" collapsed="false">
      <c r="A174" s="5" t="s">
        <v>76</v>
      </c>
      <c r="B174" s="5" t="str">
        <f aca="false">IFERROR(IF(A174="","",VLOOKUP(A174,Clientes!$A$3:$B$202,2,FALSE())),"")</f>
        <v>CLASS LABELS</v>
      </c>
      <c r="C174" s="5" t="s">
        <v>275</v>
      </c>
      <c r="D174" s="5"/>
      <c r="E174" s="5" t="s">
        <v>489</v>
      </c>
      <c r="F174" s="5"/>
      <c r="G174" s="5"/>
      <c r="H174" s="5"/>
      <c r="I174" s="5" t="s">
        <v>35</v>
      </c>
    </row>
    <row r="175" customFormat="false" ht="40.25" hidden="false" customHeight="false" outlineLevel="0" collapsed="false">
      <c r="A175" s="5" t="s">
        <v>189</v>
      </c>
      <c r="B175" s="5" t="str">
        <f aca="false">IFERROR(IF(A175="","",VLOOKUP(A175,Clientes!$A$3:$B$202,2,FALSE())),"")</f>
        <v>ZURICH ETIQUETAS</v>
      </c>
      <c r="C175" s="5" t="s">
        <v>212</v>
      </c>
      <c r="D175" s="5"/>
      <c r="E175" s="5"/>
      <c r="F175" s="5" t="s">
        <v>490</v>
      </c>
      <c r="G175" s="5"/>
      <c r="H175" s="5" t="s">
        <v>491</v>
      </c>
      <c r="I175" s="5" t="s">
        <v>35</v>
      </c>
    </row>
    <row r="176" customFormat="false" ht="49.95" hidden="false" customHeight="false" outlineLevel="0" collapsed="false">
      <c r="A176" s="5" t="s">
        <v>201</v>
      </c>
      <c r="B176" s="5" t="str">
        <f aca="false">IFERROR(IF(A176="","",VLOOKUP(A176,Clientes!$A$3:$B$202,2,FALSE())),"")</f>
        <v>SINDICATO CUAUTEPEC</v>
      </c>
      <c r="C176" s="5" t="s">
        <v>212</v>
      </c>
      <c r="D176" s="5"/>
      <c r="E176" s="5"/>
      <c r="F176" s="5" t="s">
        <v>492</v>
      </c>
      <c r="G176" s="5"/>
      <c r="H176" s="5" t="s">
        <v>493</v>
      </c>
      <c r="I176" s="5" t="s">
        <v>35</v>
      </c>
    </row>
    <row r="177" customFormat="false" ht="69.4" hidden="false" customHeight="false" outlineLevel="0" collapsed="false">
      <c r="A177" s="5" t="s">
        <v>197</v>
      </c>
      <c r="B177" s="5" t="str">
        <f aca="false">IFERROR(IF(A177="","",VLOOKUP(A177,Clientes!$A$3:$B$202,2,FALSE())),"")</f>
        <v>ABAK</v>
      </c>
      <c r="C177" s="5" t="s">
        <v>212</v>
      </c>
      <c r="D177" s="5"/>
      <c r="E177" s="5"/>
      <c r="F177" s="5" t="s">
        <v>494</v>
      </c>
      <c r="G177" s="5"/>
      <c r="H177" s="5" t="s">
        <v>495</v>
      </c>
      <c r="I177" s="5" t="s">
        <v>35</v>
      </c>
    </row>
    <row r="178" customFormat="false" ht="15" hidden="false" customHeight="false" outlineLevel="0" collapsed="false">
      <c r="A178" s="5" t="s">
        <v>57</v>
      </c>
      <c r="B178" s="5" t="str">
        <f aca="false">IFERROR(IF(A178="","",VLOOKUP(A178,Clientes!$A$3:$B$202,2,FALSE())),"")</f>
        <v>ARC</v>
      </c>
      <c r="C178" s="5" t="s">
        <v>275</v>
      </c>
      <c r="D178" s="5"/>
      <c r="E178" s="5"/>
      <c r="F178" s="5"/>
      <c r="G178" s="5"/>
      <c r="H178" s="5" t="s">
        <v>496</v>
      </c>
      <c r="I178" s="5" t="s">
        <v>35</v>
      </c>
    </row>
    <row r="179" customFormat="false" ht="15" hidden="false" customHeight="false" outlineLevel="0" collapsed="false">
      <c r="A179" s="5" t="s">
        <v>57</v>
      </c>
      <c r="B179" s="5" t="str">
        <f aca="false">IFERROR(IF(A179="","",VLOOKUP(A179,Clientes!$A$3:$B$202,2,FALSE())),"")</f>
        <v>ARC</v>
      </c>
      <c r="C179" s="5" t="s">
        <v>216</v>
      </c>
      <c r="D179" s="5"/>
      <c r="E179" s="5"/>
      <c r="F179" s="5" t="s">
        <v>497</v>
      </c>
      <c r="G179" s="5"/>
      <c r="H179" s="5"/>
      <c r="I179" s="5" t="s">
        <v>35</v>
      </c>
    </row>
    <row r="180" customFormat="false" ht="20.85" hidden="false" customHeight="false" outlineLevel="0" collapsed="false">
      <c r="A180" s="5" t="s">
        <v>57</v>
      </c>
      <c r="B180" s="5" t="str">
        <f aca="false">IFERROR(IF(A180="","",VLOOKUP(A180,Clientes!$A$3:$B$202,2,FALSE())),"")</f>
        <v>ARC</v>
      </c>
      <c r="C180" s="5" t="s">
        <v>216</v>
      </c>
      <c r="D180" s="5"/>
      <c r="E180" s="5"/>
      <c r="F180" s="5" t="s">
        <v>498</v>
      </c>
      <c r="G180" s="5"/>
      <c r="H180" s="5"/>
      <c r="I180" s="5" t="s">
        <v>35</v>
      </c>
    </row>
    <row r="181" customFormat="false" ht="15" hidden="false" customHeight="false" outlineLevel="0" collapsed="false">
      <c r="B181" s="0" t="str">
        <f aca="false">IFERROR(IF(A181="","",VLOOKUP(A181,Clientes!$A$3:$B$202,2,FALSE())),"")</f>
        <v/>
      </c>
    </row>
    <row r="182" customFormat="false" ht="15" hidden="false" customHeight="false" outlineLevel="0" collapsed="false">
      <c r="B182" s="0" t="str">
        <f aca="false">IFERROR(IF(A182="","",VLOOKUP(A182,Clientes!$A$3:$B$202,2,FALSE())),"")</f>
        <v/>
      </c>
    </row>
    <row r="183" customFormat="false" ht="15" hidden="false" customHeight="false" outlineLevel="0" collapsed="false">
      <c r="B183" s="0" t="str">
        <f aca="false">IFERROR(IF(A183="","",VLOOKUP(A183,Clientes!$A$3:$B$202,2,FALSE())),"")</f>
        <v/>
      </c>
    </row>
    <row r="184" customFormat="false" ht="15" hidden="false" customHeight="false" outlineLevel="0" collapsed="false">
      <c r="B184" s="0" t="str">
        <f aca="false">IFERROR(IF(A184="","",VLOOKUP(A184,Clientes!$A$3:$B$202,2,FALSE())),"")</f>
        <v/>
      </c>
    </row>
    <row r="185" customFormat="false" ht="15" hidden="false" customHeight="false" outlineLevel="0" collapsed="false">
      <c r="B185" s="0" t="str">
        <f aca="false">IFERROR(IF(A185="","",VLOOKUP(A185,Clientes!$A$3:$B$202,2,FALSE())),"")</f>
        <v/>
      </c>
    </row>
    <row r="186" customFormat="false" ht="15" hidden="false" customHeight="false" outlineLevel="0" collapsed="false">
      <c r="B186" s="0" t="str">
        <f aca="false">IFERROR(IF(A186="","",VLOOKUP(A186,Clientes!$A$3:$B$202,2,FALSE())),"")</f>
        <v/>
      </c>
    </row>
    <row r="187" customFormat="false" ht="15" hidden="false" customHeight="false" outlineLevel="0" collapsed="false">
      <c r="B187" s="0" t="str">
        <f aca="false">IFERROR(IF(A187="","",VLOOKUP(A187,Clientes!$A$3:$B$202,2,FALSE())),"")</f>
        <v/>
      </c>
    </row>
    <row r="188" customFormat="false" ht="15" hidden="false" customHeight="false" outlineLevel="0" collapsed="false">
      <c r="B188" s="0" t="str">
        <f aca="false">IFERROR(IF(A188="","",VLOOKUP(A188,Clientes!$A$3:$B$202,2,FALSE())),"")</f>
        <v/>
      </c>
    </row>
    <row r="189" customFormat="false" ht="15" hidden="false" customHeight="false" outlineLevel="0" collapsed="false">
      <c r="B189" s="0" t="str">
        <f aca="false">IFERROR(IF(A189="","",VLOOKUP(A189,Clientes!$A$3:$B$202,2,FALSE())),"")</f>
        <v/>
      </c>
    </row>
    <row r="190" customFormat="false" ht="15" hidden="false" customHeight="false" outlineLevel="0" collapsed="false">
      <c r="B190" s="0" t="str">
        <f aca="false">IFERROR(IF(A190="","",VLOOKUP(A190,Clientes!$A$3:$B$202,2,FALSE())),"")</f>
        <v/>
      </c>
    </row>
    <row r="191" customFormat="false" ht="15" hidden="false" customHeight="false" outlineLevel="0" collapsed="false">
      <c r="B191" s="0" t="str">
        <f aca="false">IFERROR(IF(A191="","",VLOOKUP(A191,Clientes!$A$3:$B$202,2,FALSE())),"")</f>
        <v/>
      </c>
    </row>
    <row r="192" customFormat="false" ht="15" hidden="false" customHeight="false" outlineLevel="0" collapsed="false">
      <c r="B192" s="0" t="str">
        <f aca="false">IFERROR(IF(A192="","",VLOOKUP(A192,Clientes!$A$3:$B$202,2,FALSE())),"")</f>
        <v/>
      </c>
    </row>
    <row r="193" customFormat="false" ht="15" hidden="false" customHeight="false" outlineLevel="0" collapsed="false">
      <c r="B193" s="0" t="str">
        <f aca="false">IFERROR(IF(A193="","",VLOOKUP(A193,Clientes!$A$3:$B$202,2,FALSE())),"")</f>
        <v/>
      </c>
    </row>
    <row r="194" customFormat="false" ht="15" hidden="false" customHeight="false" outlineLevel="0" collapsed="false">
      <c r="B194" s="0" t="str">
        <f aca="false">IFERROR(IF(A194="","",VLOOKUP(A194,Clientes!$A$3:$B$202,2,FALSE())),"")</f>
        <v/>
      </c>
    </row>
    <row r="195" customFormat="false" ht="15" hidden="false" customHeight="false" outlineLevel="0" collapsed="false">
      <c r="B195" s="0" t="str">
        <f aca="false">IFERROR(IF(A195="","",VLOOKUP(A195,Clientes!$A$3:$B$202,2,FALSE())),"")</f>
        <v/>
      </c>
    </row>
    <row r="196" customFormat="false" ht="15" hidden="false" customHeight="false" outlineLevel="0" collapsed="false">
      <c r="B196" s="0" t="str">
        <f aca="false">IFERROR(IF(A196="","",VLOOKUP(A196,Clientes!$A$3:$B$202,2,FALSE())),"")</f>
        <v/>
      </c>
    </row>
    <row r="197" customFormat="false" ht="15" hidden="false" customHeight="false" outlineLevel="0" collapsed="false">
      <c r="B197" s="0" t="str">
        <f aca="false">IFERROR(IF(A197="","",VLOOKUP(A197,Clientes!$A$3:$B$202,2,FALSE())),"")</f>
        <v/>
      </c>
    </row>
    <row r="198" customFormat="false" ht="15" hidden="false" customHeight="false" outlineLevel="0" collapsed="false">
      <c r="B198" s="0" t="str">
        <f aca="false">IFERROR(IF(A198="","",VLOOKUP(A198,Clientes!$A$3:$B$202,2,FALSE())),"")</f>
        <v/>
      </c>
    </row>
    <row r="199" customFormat="false" ht="15" hidden="false" customHeight="false" outlineLevel="0" collapsed="false">
      <c r="B199" s="0" t="str">
        <f aca="false">IFERROR(IF(A199="","",VLOOKUP(A199,Clientes!$A$3:$B$202,2,FALSE())),"")</f>
        <v/>
      </c>
    </row>
    <row r="200" customFormat="false" ht="15" hidden="false" customHeight="false" outlineLevel="0" collapsed="false">
      <c r="B200" s="0" t="str">
        <f aca="false">IFERROR(IF(A200="","",VLOOKUP(A200,Clientes!$A$3:$B$202,2,FALSE())),"")</f>
        <v/>
      </c>
    </row>
    <row r="201" customFormat="false" ht="15" hidden="false" customHeight="false" outlineLevel="0" collapsed="false">
      <c r="B201" s="0" t="str">
        <f aca="false">IFERROR(IF(A201="","",VLOOKUP(A201,Clientes!$A$3:$B$202,2,FALSE())),"")</f>
        <v/>
      </c>
    </row>
    <row r="202" customFormat="false" ht="15" hidden="false" customHeight="false" outlineLevel="0" collapsed="false">
      <c r="B202" s="0" t="str">
        <f aca="false">IFERROR(IF(A202="","",VLOOKUP(A202,Clientes!$A$3:$B$202,2,FALSE())),"")</f>
        <v/>
      </c>
    </row>
    <row r="203" customFormat="false" ht="15" hidden="false" customHeight="false" outlineLevel="0" collapsed="false">
      <c r="B203" s="0" t="str">
        <f aca="false">IFERROR(IF(A203="","",VLOOKUP(A203,Clientes!$A$3:$B$202,2,FALSE())),"")</f>
        <v/>
      </c>
    </row>
    <row r="204" customFormat="false" ht="15" hidden="false" customHeight="false" outlineLevel="0" collapsed="false">
      <c r="B204" s="0" t="str">
        <f aca="false">IFERROR(IF(A204="","",VLOOKUP(A204,Clientes!$A$3:$B$202,2,FALSE())),"")</f>
        <v/>
      </c>
    </row>
    <row r="205" customFormat="false" ht="15" hidden="false" customHeight="false" outlineLevel="0" collapsed="false">
      <c r="B205" s="0" t="str">
        <f aca="false">IFERROR(IF(A205="","",VLOOKUP(A205,Clientes!$A$3:$B$202,2,FALSE())),"")</f>
        <v/>
      </c>
    </row>
    <row r="206" customFormat="false" ht="15" hidden="false" customHeight="false" outlineLevel="0" collapsed="false">
      <c r="B206" s="0" t="str">
        <f aca="false">IFERROR(IF(A206="","",VLOOKUP(A206,Clientes!$A$3:$B$202,2,FALSE())),"")</f>
        <v/>
      </c>
    </row>
    <row r="207" customFormat="false" ht="15" hidden="false" customHeight="false" outlineLevel="0" collapsed="false">
      <c r="B207" s="0" t="str">
        <f aca="false">IFERROR(IF(A207="","",VLOOKUP(A207,Clientes!$A$3:$B$202,2,FALSE())),"")</f>
        <v/>
      </c>
    </row>
    <row r="208" customFormat="false" ht="15" hidden="false" customHeight="false" outlineLevel="0" collapsed="false">
      <c r="B208" s="0" t="str">
        <f aca="false">IFERROR(IF(A208="","",VLOOKUP(A208,Clientes!$A$3:$B$202,2,FALSE())),"")</f>
        <v/>
      </c>
    </row>
    <row r="209" customFormat="false" ht="15" hidden="false" customHeight="false" outlineLevel="0" collapsed="false">
      <c r="B209" s="0" t="str">
        <f aca="false">IFERROR(IF(A209="","",VLOOKUP(A209,Clientes!$A$3:$B$202,2,FALSE())),"")</f>
        <v/>
      </c>
    </row>
    <row r="210" customFormat="false" ht="15" hidden="false" customHeight="false" outlineLevel="0" collapsed="false">
      <c r="B210" s="0" t="str">
        <f aca="false">IFERROR(IF(A210="","",VLOOKUP(A210,Clientes!$A$3:$B$202,2,FALSE())),"")</f>
        <v/>
      </c>
    </row>
    <row r="211" customFormat="false" ht="15" hidden="false" customHeight="false" outlineLevel="0" collapsed="false">
      <c r="B211" s="0" t="str">
        <f aca="false">IFERROR(IF(A211="","",VLOOKUP(A211,Clientes!$A$3:$B$202,2,FALSE())),"")</f>
        <v/>
      </c>
    </row>
    <row r="212" customFormat="false" ht="15" hidden="false" customHeight="false" outlineLevel="0" collapsed="false">
      <c r="B212" s="0" t="str">
        <f aca="false">IFERROR(IF(A212="","",VLOOKUP(A212,Clientes!$A$3:$B$202,2,FALSE())),"")</f>
        <v/>
      </c>
    </row>
    <row r="213" customFormat="false" ht="15" hidden="false" customHeight="false" outlineLevel="0" collapsed="false">
      <c r="B213" s="0" t="str">
        <f aca="false">IFERROR(IF(A213="","",VLOOKUP(A213,Clientes!$A$3:$B$202,2,FALSE())),"")</f>
        <v/>
      </c>
    </row>
    <row r="214" customFormat="false" ht="15" hidden="false" customHeight="false" outlineLevel="0" collapsed="false">
      <c r="B214" s="0" t="str">
        <f aca="false">IFERROR(IF(A214="","",VLOOKUP(A214,Clientes!$A$3:$B$202,2,FALSE())),"")</f>
        <v/>
      </c>
    </row>
    <row r="215" customFormat="false" ht="15" hidden="false" customHeight="false" outlineLevel="0" collapsed="false">
      <c r="B215" s="0" t="str">
        <f aca="false">IFERROR(IF(A215="","",VLOOKUP(A215,Clientes!$A$3:$B$202,2,FALSE())),"")</f>
        <v/>
      </c>
    </row>
    <row r="216" customFormat="false" ht="15" hidden="false" customHeight="false" outlineLevel="0" collapsed="false">
      <c r="B216" s="0" t="str">
        <f aca="false">IFERROR(IF(A216="","",VLOOKUP(A216,Clientes!$A$3:$B$202,2,FALSE())),"")</f>
        <v/>
      </c>
    </row>
    <row r="217" customFormat="false" ht="15" hidden="false" customHeight="false" outlineLevel="0" collapsed="false">
      <c r="B217" s="0" t="str">
        <f aca="false">IFERROR(IF(A217="","",VLOOKUP(A217,Clientes!$A$3:$B$202,2,FALSE())),"")</f>
        <v/>
      </c>
    </row>
    <row r="218" customFormat="false" ht="15" hidden="false" customHeight="false" outlineLevel="0" collapsed="false">
      <c r="B218" s="0" t="str">
        <f aca="false">IFERROR(IF(A218="","",VLOOKUP(A218,Clientes!$A$3:$B$202,2,FALSE())),"")</f>
        <v/>
      </c>
    </row>
    <row r="219" customFormat="false" ht="15" hidden="false" customHeight="false" outlineLevel="0" collapsed="false">
      <c r="B219" s="0" t="str">
        <f aca="false">IFERROR(IF(A219="","",VLOOKUP(A219,Clientes!$A$3:$B$202,2,FALSE())),"")</f>
        <v/>
      </c>
    </row>
    <row r="220" customFormat="false" ht="15" hidden="false" customHeight="false" outlineLevel="0" collapsed="false">
      <c r="B220" s="0" t="str">
        <f aca="false">IFERROR(IF(A220="","",VLOOKUP(A220,Clientes!$A$3:$B$202,2,FALSE())),"")</f>
        <v/>
      </c>
    </row>
    <row r="221" customFormat="false" ht="15" hidden="false" customHeight="false" outlineLevel="0" collapsed="false">
      <c r="B221" s="0" t="str">
        <f aca="false">IFERROR(IF(A221="","",VLOOKUP(A221,Clientes!$A$3:$B$202,2,FALSE())),"")</f>
        <v/>
      </c>
    </row>
    <row r="222" customFormat="false" ht="15" hidden="false" customHeight="false" outlineLevel="0" collapsed="false">
      <c r="B222" s="0" t="str">
        <f aca="false">IFERROR(IF(A222="","",VLOOKUP(A222,Clientes!$A$3:$B$202,2,FALSE())),"")</f>
        <v/>
      </c>
    </row>
    <row r="223" customFormat="false" ht="15" hidden="false" customHeight="false" outlineLevel="0" collapsed="false">
      <c r="B223" s="0" t="str">
        <f aca="false">IFERROR(IF(A223="","",VLOOKUP(A223,Clientes!$A$3:$B$202,2,FALSE())),"")</f>
        <v/>
      </c>
    </row>
    <row r="224" customFormat="false" ht="15" hidden="false" customHeight="false" outlineLevel="0" collapsed="false">
      <c r="B224" s="0" t="str">
        <f aca="false">IFERROR(IF(A224="","",VLOOKUP(A224,Clientes!$A$3:$B$202,2,FALSE())),"")</f>
        <v/>
      </c>
    </row>
    <row r="225" customFormat="false" ht="15" hidden="false" customHeight="false" outlineLevel="0" collapsed="false">
      <c r="B225" s="0" t="str">
        <f aca="false">IFERROR(IF(A225="","",VLOOKUP(A225,Clientes!$A$3:$B$202,2,FALSE())),"")</f>
        <v/>
      </c>
    </row>
    <row r="226" customFormat="false" ht="15" hidden="false" customHeight="false" outlineLevel="0" collapsed="false">
      <c r="B226" s="0" t="str">
        <f aca="false">IFERROR(IF(A226="","",VLOOKUP(A226,Clientes!$A$3:$B$202,2,FALSE())),"")</f>
        <v/>
      </c>
    </row>
    <row r="227" customFormat="false" ht="15" hidden="false" customHeight="false" outlineLevel="0" collapsed="false">
      <c r="B227" s="0" t="str">
        <f aca="false">IFERROR(IF(A227="","",VLOOKUP(A227,Clientes!$A$3:$B$202,2,FALSE())),"")</f>
        <v/>
      </c>
    </row>
    <row r="228" customFormat="false" ht="15" hidden="false" customHeight="false" outlineLevel="0" collapsed="false">
      <c r="B228" s="0" t="str">
        <f aca="false">IFERROR(IF(A228="","",VLOOKUP(A228,Clientes!$A$3:$B$202,2,FALSE())),"")</f>
        <v/>
      </c>
    </row>
    <row r="229" customFormat="false" ht="15" hidden="false" customHeight="false" outlineLevel="0" collapsed="false">
      <c r="B229" s="0" t="str">
        <f aca="false">IFERROR(IF(A229="","",VLOOKUP(A229,Clientes!$A$3:$B$202,2,FALSE())),"")</f>
        <v/>
      </c>
    </row>
    <row r="230" customFormat="false" ht="15" hidden="false" customHeight="false" outlineLevel="0" collapsed="false">
      <c r="B230" s="0" t="str">
        <f aca="false">IFERROR(IF(A230="","",VLOOKUP(A230,Clientes!$A$3:$B$202,2,FALSE())),"")</f>
        <v/>
      </c>
    </row>
    <row r="231" customFormat="false" ht="15" hidden="false" customHeight="false" outlineLevel="0" collapsed="false">
      <c r="B231" s="0" t="str">
        <f aca="false">IFERROR(IF(A231="","",VLOOKUP(A231,Clientes!$A$3:$B$202,2,FALSE())),"")</f>
        <v/>
      </c>
    </row>
    <row r="232" customFormat="false" ht="15" hidden="false" customHeight="false" outlineLevel="0" collapsed="false">
      <c r="B232" s="0" t="str">
        <f aca="false">IFERROR(IF(A232="","",VLOOKUP(A232,Clientes!$A$3:$B$202,2,FALSE())),"")</f>
        <v/>
      </c>
    </row>
    <row r="233" customFormat="false" ht="15" hidden="false" customHeight="false" outlineLevel="0" collapsed="false">
      <c r="B233" s="0" t="str">
        <f aca="false">IFERROR(IF(A233="","",VLOOKUP(A233,Clientes!$A$3:$B$202,2,FALSE())),"")</f>
        <v/>
      </c>
    </row>
    <row r="234" customFormat="false" ht="15" hidden="false" customHeight="false" outlineLevel="0" collapsed="false">
      <c r="B234" s="0" t="str">
        <f aca="false">IFERROR(IF(A234="","",VLOOKUP(A234,Clientes!$A$3:$B$202,2,FALSE())),"")</f>
        <v/>
      </c>
    </row>
    <row r="235" customFormat="false" ht="15" hidden="false" customHeight="false" outlineLevel="0" collapsed="false">
      <c r="B235" s="0" t="str">
        <f aca="false">IFERROR(IF(A235="","",VLOOKUP(A235,Clientes!$A$3:$B$202,2,FALSE())),"")</f>
        <v/>
      </c>
    </row>
    <row r="236" customFormat="false" ht="15" hidden="false" customHeight="false" outlineLevel="0" collapsed="false">
      <c r="B236" s="0" t="str">
        <f aca="false">IFERROR(IF(A236="","",VLOOKUP(A236,Clientes!$A$3:$B$202,2,FALSE())),"")</f>
        <v/>
      </c>
    </row>
    <row r="237" customFormat="false" ht="15" hidden="false" customHeight="false" outlineLevel="0" collapsed="false">
      <c r="B237" s="0" t="str">
        <f aca="false">IFERROR(IF(A237="","",VLOOKUP(A237,Clientes!$A$3:$B$202,2,FALSE())),"")</f>
        <v/>
      </c>
    </row>
    <row r="238" customFormat="false" ht="15" hidden="false" customHeight="false" outlineLevel="0" collapsed="false">
      <c r="B238" s="0" t="str">
        <f aca="false">IFERROR(IF(A238="","",VLOOKUP(A238,Clientes!$A$3:$B$202,2,FALSE())),"")</f>
        <v/>
      </c>
    </row>
    <row r="239" customFormat="false" ht="15" hidden="false" customHeight="false" outlineLevel="0" collapsed="false">
      <c r="B239" s="0" t="str">
        <f aca="false">IFERROR(IF(A239="","",VLOOKUP(A239,Clientes!$A$3:$B$202,2,FALSE())),"")</f>
        <v/>
      </c>
    </row>
    <row r="240" customFormat="false" ht="15" hidden="false" customHeight="false" outlineLevel="0" collapsed="false">
      <c r="B240" s="0" t="str">
        <f aca="false">IFERROR(IF(A240="","",VLOOKUP(A240,Clientes!$A$3:$B$202,2,FALSE())),"")</f>
        <v/>
      </c>
    </row>
    <row r="241" customFormat="false" ht="15" hidden="false" customHeight="false" outlineLevel="0" collapsed="false">
      <c r="B241" s="0" t="str">
        <f aca="false">IFERROR(IF(A241="","",VLOOKUP(A241,Clientes!$A$3:$B$202,2,FALSE())),"")</f>
        <v/>
      </c>
    </row>
    <row r="242" customFormat="false" ht="15" hidden="false" customHeight="false" outlineLevel="0" collapsed="false">
      <c r="B242" s="0" t="str">
        <f aca="false">IFERROR(IF(A242="","",VLOOKUP(A242,Clientes!$A$3:$B$202,2,FALSE())),"")</f>
        <v/>
      </c>
    </row>
    <row r="243" customFormat="false" ht="15" hidden="false" customHeight="false" outlineLevel="0" collapsed="false">
      <c r="B243" s="0" t="str">
        <f aca="false">IFERROR(IF(A243="","",VLOOKUP(A243,Clientes!$A$3:$B$202,2,FALSE())),"")</f>
        <v/>
      </c>
    </row>
    <row r="244" customFormat="false" ht="15" hidden="false" customHeight="false" outlineLevel="0" collapsed="false">
      <c r="B244" s="0" t="str">
        <f aca="false">IFERROR(IF(A244="","",VLOOKUP(A244,Clientes!$A$3:$B$202,2,FALSE())),"")</f>
        <v/>
      </c>
    </row>
    <row r="245" customFormat="false" ht="15" hidden="false" customHeight="false" outlineLevel="0" collapsed="false">
      <c r="B245" s="0" t="str">
        <f aca="false">IFERROR(IF(A245="","",VLOOKUP(A245,Clientes!$A$3:$B$202,2,FALSE())),"")</f>
        <v/>
      </c>
    </row>
    <row r="246" customFormat="false" ht="15" hidden="false" customHeight="false" outlineLevel="0" collapsed="false">
      <c r="B246" s="0" t="str">
        <f aca="false">IFERROR(IF(A246="","",VLOOKUP(A246,Clientes!$A$3:$B$202,2,FALSE())),"")</f>
        <v/>
      </c>
    </row>
    <row r="247" customFormat="false" ht="15" hidden="false" customHeight="false" outlineLevel="0" collapsed="false">
      <c r="B247" s="0" t="str">
        <f aca="false">IFERROR(IF(A247="","",VLOOKUP(A247,Clientes!$A$3:$B$202,2,FALSE())),"")</f>
        <v/>
      </c>
    </row>
    <row r="248" customFormat="false" ht="15" hidden="false" customHeight="false" outlineLevel="0" collapsed="false">
      <c r="B248" s="0" t="str">
        <f aca="false">IFERROR(IF(A248="","",VLOOKUP(A248,Clientes!$A$3:$B$202,2,FALSE())),"")</f>
        <v/>
      </c>
    </row>
    <row r="249" customFormat="false" ht="15" hidden="false" customHeight="false" outlineLevel="0" collapsed="false">
      <c r="B249" s="0" t="str">
        <f aca="false">IFERROR(IF(A249="","",VLOOKUP(A249,Clientes!$A$3:$B$202,2,FALSE())),"")</f>
        <v/>
      </c>
    </row>
    <row r="250" customFormat="false" ht="15" hidden="false" customHeight="false" outlineLevel="0" collapsed="false">
      <c r="B250" s="0" t="str">
        <f aca="false">IFERROR(IF(A250="","",VLOOKUP(A250,Clientes!$A$3:$B$202,2,FALSE())),"")</f>
        <v/>
      </c>
    </row>
    <row r="251" customFormat="false" ht="15" hidden="false" customHeight="false" outlineLevel="0" collapsed="false">
      <c r="B251" s="0" t="str">
        <f aca="false">IFERROR(IF(A251="","",VLOOKUP(A251,Clientes!$A$3:$B$202,2,FALSE())),"")</f>
        <v/>
      </c>
    </row>
    <row r="252" customFormat="false" ht="15" hidden="false" customHeight="false" outlineLevel="0" collapsed="false">
      <c r="B252" s="0" t="str">
        <f aca="false">IFERROR(IF(A252="","",VLOOKUP(A252,Clientes!$A$3:$B$202,2,FALSE())),"")</f>
        <v/>
      </c>
    </row>
    <row r="253" customFormat="false" ht="15" hidden="false" customHeight="false" outlineLevel="0" collapsed="false">
      <c r="B253" s="0" t="str">
        <f aca="false">IFERROR(IF(A253="","",VLOOKUP(A253,Clientes!$A$3:$B$202,2,FALSE())),"")</f>
        <v/>
      </c>
    </row>
    <row r="254" customFormat="false" ht="15" hidden="false" customHeight="false" outlineLevel="0" collapsed="false">
      <c r="B254" s="0" t="str">
        <f aca="false">IFERROR(IF(A254="","",VLOOKUP(A254,Clientes!$A$3:$B$202,2,FALSE())),"")</f>
        <v/>
      </c>
    </row>
    <row r="255" customFormat="false" ht="15" hidden="false" customHeight="false" outlineLevel="0" collapsed="false">
      <c r="B255" s="0" t="str">
        <f aca="false">IFERROR(IF(A255="","",VLOOKUP(A255,Clientes!$A$3:$B$202,2,FALSE())),"")</f>
        <v/>
      </c>
    </row>
    <row r="256" customFormat="false" ht="15" hidden="false" customHeight="false" outlineLevel="0" collapsed="false">
      <c r="B256" s="0" t="str">
        <f aca="false">IFERROR(IF(A256="","",VLOOKUP(A256,Clientes!$A$3:$B$202,2,FALSE())),"")</f>
        <v/>
      </c>
    </row>
    <row r="257" customFormat="false" ht="15" hidden="false" customHeight="false" outlineLevel="0" collapsed="false">
      <c r="B257" s="0" t="str">
        <f aca="false">IFERROR(IF(A257="","",VLOOKUP(A257,Clientes!$A$3:$B$202,2,FALSE())),"")</f>
        <v/>
      </c>
    </row>
    <row r="258" customFormat="false" ht="15" hidden="false" customHeight="false" outlineLevel="0" collapsed="false">
      <c r="B258" s="0" t="str">
        <f aca="false">IFERROR(IF(A258="","",VLOOKUP(A258,Clientes!$A$3:$B$202,2,FALSE())),"")</f>
        <v/>
      </c>
    </row>
    <row r="259" customFormat="false" ht="15" hidden="false" customHeight="false" outlineLevel="0" collapsed="false">
      <c r="B259" s="0" t="str">
        <f aca="false">IFERROR(IF(A259="","",VLOOKUP(A259,Clientes!$A$3:$B$202,2,FALSE())),"")</f>
        <v/>
      </c>
    </row>
    <row r="260" customFormat="false" ht="15" hidden="false" customHeight="false" outlineLevel="0" collapsed="false">
      <c r="B260" s="0" t="str">
        <f aca="false">IFERROR(IF(A260="","",VLOOKUP(A260,Clientes!$A$3:$B$202,2,FALSE())),"")</f>
        <v/>
      </c>
    </row>
    <row r="261" customFormat="false" ht="15" hidden="false" customHeight="false" outlineLevel="0" collapsed="false">
      <c r="B261" s="0" t="str">
        <f aca="false">IFERROR(IF(A261="","",VLOOKUP(A261,Clientes!$A$3:$B$202,2,FALSE())),"")</f>
        <v/>
      </c>
    </row>
    <row r="262" customFormat="false" ht="15" hidden="false" customHeight="false" outlineLevel="0" collapsed="false">
      <c r="B262" s="0" t="str">
        <f aca="false">IFERROR(IF(A262="","",VLOOKUP(A262,Clientes!$A$3:$B$202,2,FALSE())),"")</f>
        <v/>
      </c>
    </row>
    <row r="263" customFormat="false" ht="15" hidden="false" customHeight="false" outlineLevel="0" collapsed="false">
      <c r="B263" s="0" t="str">
        <f aca="false">IFERROR(IF(A263="","",VLOOKUP(A263,Clientes!$A$3:$B$202,2,FALSE())),"")</f>
        <v/>
      </c>
    </row>
    <row r="264" customFormat="false" ht="15" hidden="false" customHeight="false" outlineLevel="0" collapsed="false">
      <c r="B264" s="0" t="str">
        <f aca="false">IFERROR(IF(A264="","",VLOOKUP(A264,Clientes!$A$3:$B$202,2,FALSE())),"")</f>
        <v/>
      </c>
    </row>
    <row r="265" customFormat="false" ht="15" hidden="false" customHeight="false" outlineLevel="0" collapsed="false">
      <c r="B265" s="0" t="str">
        <f aca="false">IFERROR(IF(A265="","",VLOOKUP(A265,Clientes!$A$3:$B$202,2,FALSE())),"")</f>
        <v/>
      </c>
    </row>
    <row r="266" customFormat="false" ht="15" hidden="false" customHeight="false" outlineLevel="0" collapsed="false">
      <c r="B266" s="0" t="str">
        <f aca="false">IFERROR(IF(A266="","",VLOOKUP(A266,Clientes!$A$3:$B$202,2,FALSE())),"")</f>
        <v/>
      </c>
    </row>
    <row r="267" customFormat="false" ht="15" hidden="false" customHeight="false" outlineLevel="0" collapsed="false">
      <c r="B267" s="0" t="str">
        <f aca="false">IFERROR(IF(A267="","",VLOOKUP(A267,Clientes!$A$3:$B$202,2,FALSE())),"")</f>
        <v/>
      </c>
    </row>
    <row r="268" customFormat="false" ht="15" hidden="false" customHeight="false" outlineLevel="0" collapsed="false">
      <c r="B268" s="0" t="str">
        <f aca="false">IFERROR(IF(A268="","",VLOOKUP(A268,Clientes!$A$3:$B$202,2,FALSE())),"")</f>
        <v/>
      </c>
    </row>
    <row r="269" customFormat="false" ht="15" hidden="false" customHeight="false" outlineLevel="0" collapsed="false">
      <c r="B269" s="0" t="str">
        <f aca="false">IFERROR(IF(A269="","",VLOOKUP(A269,Clientes!$A$3:$B$202,2,FALSE())),"")</f>
        <v/>
      </c>
    </row>
    <row r="270" customFormat="false" ht="15" hidden="false" customHeight="false" outlineLevel="0" collapsed="false">
      <c r="B270" s="0" t="str">
        <f aca="false">IFERROR(IF(A270="","",VLOOKUP(A270,Clientes!$A$3:$B$202,2,FALSE())),"")</f>
        <v/>
      </c>
    </row>
    <row r="271" customFormat="false" ht="15" hidden="false" customHeight="false" outlineLevel="0" collapsed="false">
      <c r="B271" s="0" t="str">
        <f aca="false">IFERROR(IF(A271="","",VLOOKUP(A271,Clientes!$A$3:$B$202,2,FALSE())),"")</f>
        <v/>
      </c>
    </row>
    <row r="272" customFormat="false" ht="15" hidden="false" customHeight="false" outlineLevel="0" collapsed="false">
      <c r="B272" s="0" t="str">
        <f aca="false">IFERROR(IF(A272="","",VLOOKUP(A272,Clientes!$A$3:$B$202,2,FALSE())),"")</f>
        <v/>
      </c>
    </row>
    <row r="273" customFormat="false" ht="15" hidden="false" customHeight="false" outlineLevel="0" collapsed="false">
      <c r="B273" s="0" t="str">
        <f aca="false">IFERROR(IF(A273="","",VLOOKUP(A273,Clientes!$A$3:$B$202,2,FALSE())),"")</f>
        <v/>
      </c>
    </row>
    <row r="274" customFormat="false" ht="15" hidden="false" customHeight="false" outlineLevel="0" collapsed="false">
      <c r="B274" s="0" t="str">
        <f aca="false">IFERROR(IF(A274="","",VLOOKUP(A274,Clientes!$A$3:$B$202,2,FALSE())),"")</f>
        <v/>
      </c>
    </row>
    <row r="275" customFormat="false" ht="15" hidden="false" customHeight="false" outlineLevel="0" collapsed="false">
      <c r="B275" s="0" t="str">
        <f aca="false">IFERROR(IF(A275="","",VLOOKUP(A275,Clientes!$A$3:$B$202,2,FALSE())),"")</f>
        <v/>
      </c>
    </row>
    <row r="276" customFormat="false" ht="15" hidden="false" customHeight="false" outlineLevel="0" collapsed="false">
      <c r="B276" s="0" t="str">
        <f aca="false">IFERROR(IF(A276="","",VLOOKUP(A276,Clientes!$A$3:$B$202,2,FALSE())),"")</f>
        <v/>
      </c>
    </row>
    <row r="277" customFormat="false" ht="15" hidden="false" customHeight="false" outlineLevel="0" collapsed="false">
      <c r="B277" s="0" t="str">
        <f aca="false">IFERROR(IF(A277="","",VLOOKUP(A277,Clientes!$A$3:$B$202,2,FALSE())),"")</f>
        <v/>
      </c>
    </row>
    <row r="278" customFormat="false" ht="15" hidden="false" customHeight="false" outlineLevel="0" collapsed="false">
      <c r="B278" s="0" t="str">
        <f aca="false">IFERROR(IF(A278="","",VLOOKUP(A278,Clientes!$A$3:$B$202,2,FALSE())),"")</f>
        <v/>
      </c>
    </row>
    <row r="279" customFormat="false" ht="15" hidden="false" customHeight="false" outlineLevel="0" collapsed="false">
      <c r="B279" s="0" t="str">
        <f aca="false">IFERROR(IF(A279="","",VLOOKUP(A279,Clientes!$A$3:$B$202,2,FALSE())),"")</f>
        <v/>
      </c>
    </row>
    <row r="280" customFormat="false" ht="15" hidden="false" customHeight="false" outlineLevel="0" collapsed="false">
      <c r="B280" s="0" t="str">
        <f aca="false">IFERROR(IF(A280="","",VLOOKUP(A280,Clientes!$A$3:$B$202,2,FALSE())),"")</f>
        <v/>
      </c>
    </row>
    <row r="281" customFormat="false" ht="15" hidden="false" customHeight="false" outlineLevel="0" collapsed="false">
      <c r="B281" s="0" t="str">
        <f aca="false">IFERROR(IF(A281="","",VLOOKUP(A281,Clientes!$A$3:$B$202,2,FALSE())),"")</f>
        <v/>
      </c>
    </row>
    <row r="282" customFormat="false" ht="15" hidden="false" customHeight="false" outlineLevel="0" collapsed="false">
      <c r="B282" s="0" t="str">
        <f aca="false">IFERROR(IF(A282="","",VLOOKUP(A282,Clientes!$A$3:$B$202,2,FALSE())),"")</f>
        <v/>
      </c>
    </row>
    <row r="283" customFormat="false" ht="15" hidden="false" customHeight="false" outlineLevel="0" collapsed="false">
      <c r="B283" s="0" t="str">
        <f aca="false">IFERROR(IF(A283="","",VLOOKUP(A283,Clientes!$A$3:$B$202,2,FALSE())),"")</f>
        <v/>
      </c>
    </row>
    <row r="284" customFormat="false" ht="15" hidden="false" customHeight="false" outlineLevel="0" collapsed="false">
      <c r="B284" s="0" t="str">
        <f aca="false">IFERROR(IF(A284="","",VLOOKUP(A284,Clientes!$A$3:$B$202,2,FALSE())),"")</f>
        <v/>
      </c>
    </row>
    <row r="285" customFormat="false" ht="15" hidden="false" customHeight="false" outlineLevel="0" collapsed="false">
      <c r="B285" s="0" t="str">
        <f aca="false">IFERROR(IF(A285="","",VLOOKUP(A285,Clientes!$A$3:$B$202,2,FALSE())),"")</f>
        <v/>
      </c>
    </row>
    <row r="286" customFormat="false" ht="15" hidden="false" customHeight="false" outlineLevel="0" collapsed="false">
      <c r="B286" s="0" t="str">
        <f aca="false">IFERROR(IF(A286="","",VLOOKUP(A286,Clientes!$A$3:$B$202,2,FALSE())),"")</f>
        <v/>
      </c>
    </row>
    <row r="287" customFormat="false" ht="15" hidden="false" customHeight="false" outlineLevel="0" collapsed="false">
      <c r="B287" s="0" t="str">
        <f aca="false">IFERROR(IF(A287="","",VLOOKUP(A287,Clientes!$A$3:$B$202,2,FALSE())),"")</f>
        <v/>
      </c>
    </row>
    <row r="288" customFormat="false" ht="15" hidden="false" customHeight="false" outlineLevel="0" collapsed="false">
      <c r="B288" s="0" t="str">
        <f aca="false">IFERROR(IF(A288="","",VLOOKUP(A288,Clientes!$A$3:$B$202,2,FALSE())),"")</f>
        <v/>
      </c>
    </row>
    <row r="289" customFormat="false" ht="15" hidden="false" customHeight="false" outlineLevel="0" collapsed="false">
      <c r="B289" s="0" t="str">
        <f aca="false">IFERROR(IF(A289="","",VLOOKUP(A289,Clientes!$A$3:$B$202,2,FALSE())),"")</f>
        <v/>
      </c>
    </row>
    <row r="290" customFormat="false" ht="15" hidden="false" customHeight="false" outlineLevel="0" collapsed="false">
      <c r="B290" s="0" t="str">
        <f aca="false">IFERROR(IF(A290="","",VLOOKUP(A290,Clientes!$A$3:$B$202,2,FALSE())),"")</f>
        <v/>
      </c>
    </row>
    <row r="291" customFormat="false" ht="15" hidden="false" customHeight="false" outlineLevel="0" collapsed="false">
      <c r="B291" s="0" t="str">
        <f aca="false">IFERROR(IF(A291="","",VLOOKUP(A291,Clientes!$A$3:$B$202,2,FALSE())),"")</f>
        <v/>
      </c>
    </row>
    <row r="292" customFormat="false" ht="15" hidden="false" customHeight="false" outlineLevel="0" collapsed="false">
      <c r="B292" s="0" t="str">
        <f aca="false">IFERROR(IF(A292="","",VLOOKUP(A292,Clientes!$A$3:$B$202,2,FALSE())),"")</f>
        <v/>
      </c>
    </row>
    <row r="293" customFormat="false" ht="15" hidden="false" customHeight="false" outlineLevel="0" collapsed="false">
      <c r="B293" s="0" t="str">
        <f aca="false">IFERROR(IF(A293="","",VLOOKUP(A293,Clientes!$A$3:$B$202,2,FALSE())),"")</f>
        <v/>
      </c>
    </row>
    <row r="294" customFormat="false" ht="15" hidden="false" customHeight="false" outlineLevel="0" collapsed="false">
      <c r="B294" s="0" t="str">
        <f aca="false">IFERROR(IF(A294="","",VLOOKUP(A294,Clientes!$A$3:$B$202,2,FALSE())),"")</f>
        <v/>
      </c>
    </row>
    <row r="295" customFormat="false" ht="15" hidden="false" customHeight="false" outlineLevel="0" collapsed="false">
      <c r="B295" s="0" t="str">
        <f aca="false">IFERROR(IF(A295="","",VLOOKUP(A295,Clientes!$A$3:$B$202,2,FALSE())),"")</f>
        <v/>
      </c>
    </row>
    <row r="296" customFormat="false" ht="15" hidden="false" customHeight="false" outlineLevel="0" collapsed="false">
      <c r="B296" s="0" t="str">
        <f aca="false">IFERROR(IF(A296="","",VLOOKUP(A296,Clientes!$A$3:$B$202,2,FALSE())),"")</f>
        <v/>
      </c>
    </row>
    <row r="297" customFormat="false" ht="15" hidden="false" customHeight="false" outlineLevel="0" collapsed="false">
      <c r="B297" s="0" t="str">
        <f aca="false">IFERROR(IF(A297="","",VLOOKUP(A297,Clientes!$A$3:$B$202,2,FALSE())),"")</f>
        <v/>
      </c>
    </row>
    <row r="298" customFormat="false" ht="15" hidden="false" customHeight="false" outlineLevel="0" collapsed="false">
      <c r="B298" s="0" t="str">
        <f aca="false">IFERROR(IF(A298="","",VLOOKUP(A298,Clientes!$A$3:$B$202,2,FALSE())),"")</f>
        <v/>
      </c>
    </row>
    <row r="299" customFormat="false" ht="15" hidden="false" customHeight="false" outlineLevel="0" collapsed="false">
      <c r="B299" s="0" t="str">
        <f aca="false">IFERROR(IF(A299="","",VLOOKUP(A299,Clientes!$A$3:$B$202,2,FALSE())),"")</f>
        <v/>
      </c>
    </row>
    <row r="300" customFormat="false" ht="15" hidden="false" customHeight="false" outlineLevel="0" collapsed="false">
      <c r="B300" s="0" t="str">
        <f aca="false">IFERROR(IF(A300="","",VLOOKUP(A300,Clientes!$A$3:$B$202,2,FALSE())),"")</f>
        <v/>
      </c>
    </row>
    <row r="301" customFormat="false" ht="15" hidden="false" customHeight="false" outlineLevel="0" collapsed="false">
      <c r="B301" s="0" t="str">
        <f aca="false">IFERROR(IF(A301="","",VLOOKUP(A301,Clientes!$A$3:$B$202,2,FALSE())),"")</f>
        <v/>
      </c>
    </row>
    <row r="302" customFormat="false" ht="15" hidden="false" customHeight="false" outlineLevel="0" collapsed="false">
      <c r="B302" s="0" t="str">
        <f aca="false">IFERROR(IF(A302="","",VLOOKUP(A302,Clientes!$A$3:$B$202,2,FALSE())),"")</f>
        <v/>
      </c>
    </row>
    <row r="303" customFormat="false" ht="15" hidden="false" customHeight="false" outlineLevel="0" collapsed="false">
      <c r="B303" s="0" t="str">
        <f aca="false">IFERROR(IF(A303="","",VLOOKUP(A303,Clientes!$A$3:$B$202,2,FALSE())),"")</f>
        <v/>
      </c>
    </row>
    <row r="304" customFormat="false" ht="15" hidden="false" customHeight="false" outlineLevel="0" collapsed="false">
      <c r="B304" s="0" t="str">
        <f aca="false">IFERROR(IF(A304="","",VLOOKUP(A304,Clientes!$A$3:$B$202,2,FALSE())),"")</f>
        <v/>
      </c>
    </row>
    <row r="305" customFormat="false" ht="15" hidden="false" customHeight="false" outlineLevel="0" collapsed="false">
      <c r="B305" s="0" t="str">
        <f aca="false">IFERROR(IF(A305="","",VLOOKUP(A305,Clientes!$A$3:$B$202,2,FALSE())),"")</f>
        <v/>
      </c>
    </row>
    <row r="306" customFormat="false" ht="15" hidden="false" customHeight="false" outlineLevel="0" collapsed="false">
      <c r="B306" s="0" t="str">
        <f aca="false">IFERROR(IF(A306="","",VLOOKUP(A306,Clientes!$A$3:$B$202,2,FALSE())),"")</f>
        <v/>
      </c>
    </row>
    <row r="307" customFormat="false" ht="15" hidden="false" customHeight="false" outlineLevel="0" collapsed="false">
      <c r="B307" s="0" t="str">
        <f aca="false">IFERROR(IF(A307="","",VLOOKUP(A307,Clientes!$A$3:$B$202,2,FALSE())),"")</f>
        <v/>
      </c>
    </row>
    <row r="308" customFormat="false" ht="15" hidden="false" customHeight="false" outlineLevel="0" collapsed="false">
      <c r="B308" s="0" t="str">
        <f aca="false">IFERROR(IF(A308="","",VLOOKUP(A308,Clientes!$A$3:$B$202,2,FALSE())),"")</f>
        <v/>
      </c>
    </row>
    <row r="309" customFormat="false" ht="15" hidden="false" customHeight="false" outlineLevel="0" collapsed="false">
      <c r="B309" s="0" t="str">
        <f aca="false">IFERROR(IF(A309="","",VLOOKUP(A309,Clientes!$A$3:$B$202,2,FALSE())),"")</f>
        <v/>
      </c>
    </row>
    <row r="310" customFormat="false" ht="15" hidden="false" customHeight="false" outlineLevel="0" collapsed="false">
      <c r="B310" s="0" t="str">
        <f aca="false">IFERROR(IF(A310="","",VLOOKUP(A310,Clientes!$A$3:$B$202,2,FALSE())),"")</f>
        <v/>
      </c>
    </row>
    <row r="311" customFormat="false" ht="15" hidden="false" customHeight="false" outlineLevel="0" collapsed="false">
      <c r="B311" s="0" t="str">
        <f aca="false">IFERROR(IF(A311="","",VLOOKUP(A311,Clientes!$A$3:$B$202,2,FALSE())),"")</f>
        <v/>
      </c>
    </row>
    <row r="312" customFormat="false" ht="15" hidden="false" customHeight="false" outlineLevel="0" collapsed="false">
      <c r="B312" s="0" t="str">
        <f aca="false">IFERROR(IF(A312="","",VLOOKUP(A312,Clientes!$A$3:$B$202,2,FALSE())),"")</f>
        <v/>
      </c>
    </row>
    <row r="313" customFormat="false" ht="15" hidden="false" customHeight="false" outlineLevel="0" collapsed="false">
      <c r="B313" s="0" t="str">
        <f aca="false">IFERROR(IF(A313="","",VLOOKUP(A313,Clientes!$A$3:$B$202,2,FALSE())),"")</f>
        <v/>
      </c>
    </row>
    <row r="314" customFormat="false" ht="15" hidden="false" customHeight="false" outlineLevel="0" collapsed="false">
      <c r="B314" s="0" t="str">
        <f aca="false">IFERROR(IF(A314="","",VLOOKUP(A314,Clientes!$A$3:$B$202,2,FALSE())),"")</f>
        <v/>
      </c>
    </row>
    <row r="315" customFormat="false" ht="15" hidden="false" customHeight="false" outlineLevel="0" collapsed="false">
      <c r="B315" s="0" t="str">
        <f aca="false">IFERROR(IF(A315="","",VLOOKUP(A315,Clientes!$A$3:$B$202,2,FALSE())),"")</f>
        <v/>
      </c>
    </row>
    <row r="316" customFormat="false" ht="15" hidden="false" customHeight="false" outlineLevel="0" collapsed="false">
      <c r="B316" s="0" t="str">
        <f aca="false">IFERROR(IF(A316="","",VLOOKUP(A316,Clientes!$A$3:$B$202,2,FALSE())),"")</f>
        <v/>
      </c>
    </row>
    <row r="317" customFormat="false" ht="15" hidden="false" customHeight="false" outlineLevel="0" collapsed="false">
      <c r="B317" s="0" t="str">
        <f aca="false">IFERROR(IF(A317="","",VLOOKUP(A317,Clientes!$A$3:$B$202,2,FALSE())),"")</f>
        <v/>
      </c>
    </row>
    <row r="318" customFormat="false" ht="15" hidden="false" customHeight="false" outlineLevel="0" collapsed="false">
      <c r="B318" s="0" t="str">
        <f aca="false">IFERROR(IF(A318="","",VLOOKUP(A318,Clientes!$A$3:$B$202,2,FALSE())),"")</f>
        <v/>
      </c>
    </row>
    <row r="319" customFormat="false" ht="15" hidden="false" customHeight="false" outlineLevel="0" collapsed="false">
      <c r="B319" s="0" t="str">
        <f aca="false">IFERROR(IF(A319="","",VLOOKUP(A319,Clientes!$A$3:$B$202,2,FALSE())),"")</f>
        <v/>
      </c>
    </row>
    <row r="320" customFormat="false" ht="15" hidden="false" customHeight="false" outlineLevel="0" collapsed="false">
      <c r="B320" s="0" t="str">
        <f aca="false">IFERROR(IF(A320="","",VLOOKUP(A320,Clientes!$A$3:$B$202,2,FALSE())),"")</f>
        <v/>
      </c>
    </row>
    <row r="321" customFormat="false" ht="15" hidden="false" customHeight="false" outlineLevel="0" collapsed="false">
      <c r="B321" s="0" t="str">
        <f aca="false">IFERROR(IF(A321="","",VLOOKUP(A321,Clientes!$A$3:$B$202,2,FALSE())),"")</f>
        <v/>
      </c>
    </row>
    <row r="322" customFormat="false" ht="15" hidden="false" customHeight="false" outlineLevel="0" collapsed="false">
      <c r="B322" s="0" t="str">
        <f aca="false">IFERROR(IF(A322="","",VLOOKUP(A322,Clientes!$A$3:$B$202,2,FALSE())),"")</f>
        <v/>
      </c>
    </row>
    <row r="323" customFormat="false" ht="15" hidden="false" customHeight="false" outlineLevel="0" collapsed="false">
      <c r="B323" s="0" t="str">
        <f aca="false">IFERROR(IF(A323="","",VLOOKUP(A323,Clientes!$A$3:$B$202,2,FALSE())),"")</f>
        <v/>
      </c>
    </row>
    <row r="324" customFormat="false" ht="15" hidden="false" customHeight="false" outlineLevel="0" collapsed="false">
      <c r="B324" s="0" t="str">
        <f aca="false">IFERROR(IF(A324="","",VLOOKUP(A324,Clientes!$A$3:$B$202,2,FALSE())),"")</f>
        <v/>
      </c>
    </row>
    <row r="325" customFormat="false" ht="15" hidden="false" customHeight="false" outlineLevel="0" collapsed="false">
      <c r="B325" s="0" t="str">
        <f aca="false">IFERROR(IF(A325="","",VLOOKUP(A325,Clientes!$A$3:$B$202,2,FALSE())),"")</f>
        <v/>
      </c>
    </row>
    <row r="326" customFormat="false" ht="15" hidden="false" customHeight="false" outlineLevel="0" collapsed="false">
      <c r="B326" s="0" t="str">
        <f aca="false">IFERROR(IF(A326="","",VLOOKUP(A326,Clientes!$A$3:$B$202,2,FALSE())),"")</f>
        <v/>
      </c>
    </row>
    <row r="327" customFormat="false" ht="15" hidden="false" customHeight="false" outlineLevel="0" collapsed="false">
      <c r="B327" s="0" t="str">
        <f aca="false">IFERROR(IF(A327="","",VLOOKUP(A327,Clientes!$A$3:$B$202,2,FALSE())),"")</f>
        <v/>
      </c>
    </row>
    <row r="328" customFormat="false" ht="15" hidden="false" customHeight="false" outlineLevel="0" collapsed="false">
      <c r="B328" s="0" t="str">
        <f aca="false">IFERROR(IF(A328="","",VLOOKUP(A328,Clientes!$A$3:$B$202,2,FALSE())),"")</f>
        <v/>
      </c>
    </row>
    <row r="329" customFormat="false" ht="15" hidden="false" customHeight="false" outlineLevel="0" collapsed="false">
      <c r="B329" s="0" t="str">
        <f aca="false">IFERROR(IF(A329="","",VLOOKUP(A329,Clientes!$A$3:$B$202,2,FALSE())),"")</f>
        <v/>
      </c>
    </row>
    <row r="330" customFormat="false" ht="15" hidden="false" customHeight="false" outlineLevel="0" collapsed="false">
      <c r="B330" s="0" t="str">
        <f aca="false">IFERROR(IF(A330="","",VLOOKUP(A330,Clientes!$A$3:$B$202,2,FALSE())),"")</f>
        <v/>
      </c>
    </row>
    <row r="331" customFormat="false" ht="15" hidden="false" customHeight="false" outlineLevel="0" collapsed="false">
      <c r="B331" s="0" t="str">
        <f aca="false">IFERROR(IF(A331="","",VLOOKUP(A331,Clientes!$A$3:$B$202,2,FALSE())),"")</f>
        <v/>
      </c>
    </row>
    <row r="332" customFormat="false" ht="15" hidden="false" customHeight="false" outlineLevel="0" collapsed="false">
      <c r="B332" s="0" t="str">
        <f aca="false">IFERROR(IF(A332="","",VLOOKUP(A332,Clientes!$A$3:$B$202,2,FALSE())),"")</f>
        <v/>
      </c>
    </row>
    <row r="333" customFormat="false" ht="15" hidden="false" customHeight="false" outlineLevel="0" collapsed="false">
      <c r="B333" s="0" t="str">
        <f aca="false">IFERROR(IF(A333="","",VLOOKUP(A333,Clientes!$A$3:$B$202,2,FALSE())),"")</f>
        <v/>
      </c>
    </row>
    <row r="334" customFormat="false" ht="15" hidden="false" customHeight="false" outlineLevel="0" collapsed="false">
      <c r="B334" s="0" t="str">
        <f aca="false">IFERROR(IF(A334="","",VLOOKUP(A334,Clientes!$A$3:$B$202,2,FALSE())),"")</f>
        <v/>
      </c>
    </row>
    <row r="335" customFormat="false" ht="15" hidden="false" customHeight="false" outlineLevel="0" collapsed="false">
      <c r="B335" s="0" t="str">
        <f aca="false">IFERROR(IF(A335="","",VLOOKUP(A335,Clientes!$A$3:$B$202,2,FALSE())),"")</f>
        <v/>
      </c>
    </row>
    <row r="336" customFormat="false" ht="15" hidden="false" customHeight="false" outlineLevel="0" collapsed="false">
      <c r="B336" s="0" t="str">
        <f aca="false">IFERROR(IF(A336="","",VLOOKUP(A336,Clientes!$A$3:$B$202,2,FALSE())),"")</f>
        <v/>
      </c>
    </row>
    <row r="337" customFormat="false" ht="15" hidden="false" customHeight="false" outlineLevel="0" collapsed="false">
      <c r="B337" s="0" t="str">
        <f aca="false">IFERROR(IF(A337="","",VLOOKUP(A337,Clientes!$A$3:$B$202,2,FALSE())),"")</f>
        <v/>
      </c>
    </row>
    <row r="338" customFormat="false" ht="15" hidden="false" customHeight="false" outlineLevel="0" collapsed="false">
      <c r="B338" s="0" t="str">
        <f aca="false">IFERROR(IF(A338="","",VLOOKUP(A338,Clientes!$A$3:$B$202,2,FALSE())),"")</f>
        <v/>
      </c>
    </row>
    <row r="339" customFormat="false" ht="15" hidden="false" customHeight="false" outlineLevel="0" collapsed="false">
      <c r="B339" s="0" t="str">
        <f aca="false">IFERROR(IF(A339="","",VLOOKUP(A339,Clientes!$A$3:$B$202,2,FALSE())),"")</f>
        <v/>
      </c>
    </row>
    <row r="340" customFormat="false" ht="15" hidden="false" customHeight="false" outlineLevel="0" collapsed="false">
      <c r="B340" s="0" t="str">
        <f aca="false">IFERROR(IF(A340="","",VLOOKUP(A340,Clientes!$A$3:$B$202,2,FALSE())),"")</f>
        <v/>
      </c>
    </row>
    <row r="341" customFormat="false" ht="15" hidden="false" customHeight="false" outlineLevel="0" collapsed="false">
      <c r="B341" s="0" t="str">
        <f aca="false">IFERROR(IF(A341="","",VLOOKUP(A341,Clientes!$A$3:$B$202,2,FALSE())),"")</f>
        <v/>
      </c>
    </row>
    <row r="342" customFormat="false" ht="15" hidden="false" customHeight="false" outlineLevel="0" collapsed="false">
      <c r="B342" s="0" t="str">
        <f aca="false">IFERROR(IF(A342="","",VLOOKUP(A342,Clientes!$A$3:$B$202,2,FALSE())),"")</f>
        <v/>
      </c>
    </row>
    <row r="343" customFormat="false" ht="15" hidden="false" customHeight="false" outlineLevel="0" collapsed="false">
      <c r="B343" s="0" t="str">
        <f aca="false">IFERROR(IF(A343="","",VLOOKUP(A343,Clientes!$A$3:$B$202,2,FALSE())),"")</f>
        <v/>
      </c>
    </row>
    <row r="344" customFormat="false" ht="15" hidden="false" customHeight="false" outlineLevel="0" collapsed="false">
      <c r="B344" s="0" t="str">
        <f aca="false">IFERROR(IF(A344="","",VLOOKUP(A344,Clientes!$A$3:$B$202,2,FALSE())),"")</f>
        <v/>
      </c>
    </row>
    <row r="345" customFormat="false" ht="15" hidden="false" customHeight="false" outlineLevel="0" collapsed="false">
      <c r="B345" s="0" t="str">
        <f aca="false">IFERROR(IF(A345="","",VLOOKUP(A345,Clientes!$A$3:$B$202,2,FALSE())),"")</f>
        <v/>
      </c>
    </row>
    <row r="346" customFormat="false" ht="15" hidden="false" customHeight="false" outlineLevel="0" collapsed="false">
      <c r="B346" s="0" t="str">
        <f aca="false">IFERROR(IF(A346="","",VLOOKUP(A346,Clientes!$A$3:$B$202,2,FALSE())),"")</f>
        <v/>
      </c>
    </row>
    <row r="347" customFormat="false" ht="15" hidden="false" customHeight="false" outlineLevel="0" collapsed="false">
      <c r="B347" s="0" t="str">
        <f aca="false">IFERROR(IF(A347="","",VLOOKUP(A347,Clientes!$A$3:$B$202,2,FALSE())),"")</f>
        <v/>
      </c>
    </row>
    <row r="348" customFormat="false" ht="15" hidden="false" customHeight="false" outlineLevel="0" collapsed="false">
      <c r="B348" s="0" t="str">
        <f aca="false">IFERROR(IF(A348="","",VLOOKUP(A348,Clientes!$A$3:$B$202,2,FALSE())),"")</f>
        <v/>
      </c>
    </row>
    <row r="349" customFormat="false" ht="15" hidden="false" customHeight="false" outlineLevel="0" collapsed="false">
      <c r="B349" s="0" t="str">
        <f aca="false">IFERROR(IF(A349="","",VLOOKUP(A349,Clientes!$A$3:$B$202,2,FALSE())),"")</f>
        <v/>
      </c>
    </row>
    <row r="350" customFormat="false" ht="15" hidden="false" customHeight="false" outlineLevel="0" collapsed="false">
      <c r="B350" s="0" t="str">
        <f aca="false">IFERROR(IF(A350="","",VLOOKUP(A350,Clientes!$A$3:$B$202,2,FALSE())),"")</f>
        <v/>
      </c>
    </row>
    <row r="351" customFormat="false" ht="15" hidden="false" customHeight="false" outlineLevel="0" collapsed="false">
      <c r="B351" s="0" t="str">
        <f aca="false">IFERROR(IF(A351="","",VLOOKUP(A351,Clientes!$A$3:$B$202,2,FALSE())),"")</f>
        <v/>
      </c>
    </row>
    <row r="352" customFormat="false" ht="15" hidden="false" customHeight="false" outlineLevel="0" collapsed="false">
      <c r="B352" s="0" t="str">
        <f aca="false">IFERROR(IF(A352="","",VLOOKUP(A352,Clientes!$A$3:$B$202,2,FALSE())),"")</f>
        <v/>
      </c>
    </row>
    <row r="353" customFormat="false" ht="15" hidden="false" customHeight="false" outlineLevel="0" collapsed="false">
      <c r="B353" s="0" t="str">
        <f aca="false">IFERROR(IF(A353="","",VLOOKUP(A353,Clientes!$A$3:$B$202,2,FALSE())),"")</f>
        <v/>
      </c>
    </row>
    <row r="354" customFormat="false" ht="15" hidden="false" customHeight="false" outlineLevel="0" collapsed="false">
      <c r="B354" s="0" t="str">
        <f aca="false">IFERROR(IF(A354="","",VLOOKUP(A354,Clientes!$A$3:$B$202,2,FALSE())),"")</f>
        <v/>
      </c>
    </row>
    <row r="355" customFormat="false" ht="15" hidden="false" customHeight="false" outlineLevel="0" collapsed="false">
      <c r="B355" s="0" t="str">
        <f aca="false">IFERROR(IF(A355="","",VLOOKUP(A355,Clientes!$A$3:$B$202,2,FALSE())),"")</f>
        <v/>
      </c>
    </row>
    <row r="356" customFormat="false" ht="15" hidden="false" customHeight="false" outlineLevel="0" collapsed="false">
      <c r="B356" s="0" t="str">
        <f aca="false">IFERROR(IF(A356="","",VLOOKUP(A356,Clientes!$A$3:$B$202,2,FALSE())),"")</f>
        <v/>
      </c>
    </row>
    <row r="357" customFormat="false" ht="15" hidden="false" customHeight="false" outlineLevel="0" collapsed="false">
      <c r="B357" s="0" t="str">
        <f aca="false">IFERROR(IF(A357="","",VLOOKUP(A357,Clientes!$A$3:$B$202,2,FALSE())),"")</f>
        <v/>
      </c>
    </row>
    <row r="358" customFormat="false" ht="15" hidden="false" customHeight="false" outlineLevel="0" collapsed="false">
      <c r="B358" s="0" t="str">
        <f aca="false">IFERROR(IF(A358="","",VLOOKUP(A358,Clientes!$A$3:$B$202,2,FALSE())),"")</f>
        <v/>
      </c>
    </row>
    <row r="359" customFormat="false" ht="15" hidden="false" customHeight="false" outlineLevel="0" collapsed="false">
      <c r="B359" s="0" t="str">
        <f aca="false">IFERROR(IF(A359="","",VLOOKUP(A359,Clientes!$A$3:$B$202,2,FALSE())),"")</f>
        <v/>
      </c>
    </row>
    <row r="360" customFormat="false" ht="15" hidden="false" customHeight="false" outlineLevel="0" collapsed="false">
      <c r="B360" s="0" t="str">
        <f aca="false">IFERROR(IF(A360="","",VLOOKUP(A360,Clientes!$A$3:$B$202,2,FALSE())),"")</f>
        <v/>
      </c>
    </row>
    <row r="361" customFormat="false" ht="15" hidden="false" customHeight="false" outlineLevel="0" collapsed="false">
      <c r="B361" s="0" t="str">
        <f aca="false">IFERROR(IF(A361="","",VLOOKUP(A361,Clientes!$A$3:$B$202,2,FALSE())),"")</f>
        <v/>
      </c>
    </row>
    <row r="362" customFormat="false" ht="15" hidden="false" customHeight="false" outlineLevel="0" collapsed="false">
      <c r="B362" s="0" t="str">
        <f aca="false">IFERROR(IF(A362="","",VLOOKUP(A362,Clientes!$A$3:$B$202,2,FALSE())),"")</f>
        <v/>
      </c>
    </row>
    <row r="363" customFormat="false" ht="15" hidden="false" customHeight="false" outlineLevel="0" collapsed="false">
      <c r="B363" s="0" t="str">
        <f aca="false">IFERROR(IF(A363="","",VLOOKUP(A363,Clientes!$A$3:$B$202,2,FALSE())),"")</f>
        <v/>
      </c>
    </row>
    <row r="364" customFormat="false" ht="15" hidden="false" customHeight="false" outlineLevel="0" collapsed="false">
      <c r="B364" s="0" t="str">
        <f aca="false">IFERROR(IF(A364="","",VLOOKUP(A364,Clientes!$A$3:$B$202,2,FALSE())),"")</f>
        <v/>
      </c>
    </row>
    <row r="365" customFormat="false" ht="15" hidden="false" customHeight="false" outlineLevel="0" collapsed="false">
      <c r="B365" s="0" t="str">
        <f aca="false">IFERROR(IF(A365="","",VLOOKUP(A365,Clientes!$A$3:$B$202,2,FALSE())),"")</f>
        <v/>
      </c>
    </row>
    <row r="366" customFormat="false" ht="15" hidden="false" customHeight="false" outlineLevel="0" collapsed="false">
      <c r="B366" s="0" t="str">
        <f aca="false">IFERROR(IF(A366="","",VLOOKUP(A366,Clientes!$A$3:$B$202,2,FALSE())),"")</f>
        <v/>
      </c>
    </row>
    <row r="367" customFormat="false" ht="15" hidden="false" customHeight="false" outlineLevel="0" collapsed="false">
      <c r="B367" s="0" t="str">
        <f aca="false">IFERROR(IF(A367="","",VLOOKUP(A367,Clientes!$A$3:$B$202,2,FALSE())),"")</f>
        <v/>
      </c>
    </row>
    <row r="368" customFormat="false" ht="15" hidden="false" customHeight="false" outlineLevel="0" collapsed="false">
      <c r="B368" s="0" t="str">
        <f aca="false">IFERROR(IF(A368="","",VLOOKUP(A368,Clientes!$A$3:$B$202,2,FALSE())),"")</f>
        <v/>
      </c>
    </row>
    <row r="369" customFormat="false" ht="15" hidden="false" customHeight="false" outlineLevel="0" collapsed="false">
      <c r="B369" s="0" t="str">
        <f aca="false">IFERROR(IF(A369="","",VLOOKUP(A369,Clientes!$A$3:$B$202,2,FALSE())),"")</f>
        <v/>
      </c>
    </row>
    <row r="370" customFormat="false" ht="15" hidden="false" customHeight="false" outlineLevel="0" collapsed="false">
      <c r="B370" s="0" t="str">
        <f aca="false">IFERROR(IF(A370="","",VLOOKUP(A370,Clientes!$A$3:$B$202,2,FALSE())),"")</f>
        <v/>
      </c>
    </row>
    <row r="371" customFormat="false" ht="15" hidden="false" customHeight="false" outlineLevel="0" collapsed="false">
      <c r="B371" s="0" t="str">
        <f aca="false">IFERROR(IF(A371="","",VLOOKUP(A371,Clientes!$A$3:$B$202,2,FALSE())),"")</f>
        <v/>
      </c>
    </row>
    <row r="372" customFormat="false" ht="15" hidden="false" customHeight="false" outlineLevel="0" collapsed="false">
      <c r="B372" s="0" t="str">
        <f aca="false">IFERROR(IF(A372="","",VLOOKUP(A372,Clientes!$A$3:$B$202,2,FALSE())),"")</f>
        <v/>
      </c>
    </row>
    <row r="373" customFormat="false" ht="15" hidden="false" customHeight="false" outlineLevel="0" collapsed="false">
      <c r="B373" s="0" t="str">
        <f aca="false">IFERROR(IF(A373="","",VLOOKUP(A373,Clientes!$A$3:$B$202,2,FALSE())),"")</f>
        <v/>
      </c>
    </row>
    <row r="374" customFormat="false" ht="15" hidden="false" customHeight="false" outlineLevel="0" collapsed="false">
      <c r="B374" s="0" t="str">
        <f aca="false">IFERROR(IF(A374="","",VLOOKUP(A374,Clientes!$A$3:$B$202,2,FALSE())),"")</f>
        <v/>
      </c>
    </row>
    <row r="375" customFormat="false" ht="15" hidden="false" customHeight="false" outlineLevel="0" collapsed="false">
      <c r="B375" s="0" t="str">
        <f aca="false">IFERROR(IF(A375="","",VLOOKUP(A375,Clientes!$A$3:$B$202,2,FALSE())),"")</f>
        <v/>
      </c>
    </row>
    <row r="376" customFormat="false" ht="15" hidden="false" customHeight="false" outlineLevel="0" collapsed="false">
      <c r="B376" s="0" t="str">
        <f aca="false">IFERROR(IF(A376="","",VLOOKUP(A376,Clientes!$A$3:$B$202,2,FALSE())),"")</f>
        <v/>
      </c>
    </row>
    <row r="377" customFormat="false" ht="15" hidden="false" customHeight="false" outlineLevel="0" collapsed="false">
      <c r="B377" s="0" t="str">
        <f aca="false">IFERROR(IF(A377="","",VLOOKUP(A377,Clientes!$A$3:$B$202,2,FALSE())),"")</f>
        <v/>
      </c>
    </row>
    <row r="378" customFormat="false" ht="15" hidden="false" customHeight="false" outlineLevel="0" collapsed="false">
      <c r="B378" s="0" t="str">
        <f aca="false">IFERROR(IF(A378="","",VLOOKUP(A378,Clientes!$A$3:$B$202,2,FALSE())),"")</f>
        <v/>
      </c>
    </row>
    <row r="379" customFormat="false" ht="15" hidden="false" customHeight="false" outlineLevel="0" collapsed="false">
      <c r="B379" s="0" t="str">
        <f aca="false">IFERROR(IF(A379="","",VLOOKUP(A379,Clientes!$A$3:$B$202,2,FALSE())),"")</f>
        <v/>
      </c>
    </row>
    <row r="380" customFormat="false" ht="15" hidden="false" customHeight="false" outlineLevel="0" collapsed="false">
      <c r="B380" s="0" t="str">
        <f aca="false">IFERROR(IF(A380="","",VLOOKUP(A380,Clientes!$A$3:$B$202,2,FALSE())),"")</f>
        <v/>
      </c>
    </row>
    <row r="381" customFormat="false" ht="15" hidden="false" customHeight="false" outlineLevel="0" collapsed="false">
      <c r="B381" s="0" t="str">
        <f aca="false">IFERROR(IF(A381="","",VLOOKUP(A381,Clientes!$A$3:$B$202,2,FALSE())),"")</f>
        <v/>
      </c>
    </row>
    <row r="382" customFormat="false" ht="15" hidden="false" customHeight="false" outlineLevel="0" collapsed="false">
      <c r="B382" s="0" t="str">
        <f aca="false">IFERROR(IF(A382="","",VLOOKUP(A382,Clientes!$A$3:$B$202,2,FALSE())),"")</f>
        <v/>
      </c>
    </row>
    <row r="383" customFormat="false" ht="15" hidden="false" customHeight="false" outlineLevel="0" collapsed="false">
      <c r="B383" s="0" t="str">
        <f aca="false">IFERROR(IF(A383="","",VLOOKUP(A383,Clientes!$A$3:$B$202,2,FALSE())),"")</f>
        <v/>
      </c>
    </row>
    <row r="384" customFormat="false" ht="15" hidden="false" customHeight="false" outlineLevel="0" collapsed="false">
      <c r="B384" s="0" t="str">
        <f aca="false">IFERROR(IF(A384="","",VLOOKUP(A384,Clientes!$A$3:$B$202,2,FALSE())),"")</f>
        <v/>
      </c>
    </row>
    <row r="385" customFormat="false" ht="15" hidden="false" customHeight="false" outlineLevel="0" collapsed="false">
      <c r="B385" s="0" t="str">
        <f aca="false">IFERROR(IF(A385="","",VLOOKUP(A385,Clientes!$A$3:$B$202,2,FALSE())),"")</f>
        <v/>
      </c>
    </row>
    <row r="386" customFormat="false" ht="15" hidden="false" customHeight="false" outlineLevel="0" collapsed="false">
      <c r="B386" s="0" t="str">
        <f aca="false">IFERROR(IF(A386="","",VLOOKUP(A386,Clientes!$A$3:$B$202,2,FALSE())),"")</f>
        <v/>
      </c>
    </row>
    <row r="387" customFormat="false" ht="15" hidden="false" customHeight="false" outlineLevel="0" collapsed="false">
      <c r="B387" s="0" t="str">
        <f aca="false">IFERROR(IF(A387="","",VLOOKUP(A387,Clientes!$A$3:$B$202,2,FALSE())),"")</f>
        <v/>
      </c>
    </row>
    <row r="388" customFormat="false" ht="15" hidden="false" customHeight="false" outlineLevel="0" collapsed="false">
      <c r="B388" s="0" t="str">
        <f aca="false">IFERROR(IF(A388="","",VLOOKUP(A388,Clientes!$A$3:$B$202,2,FALSE())),"")</f>
        <v/>
      </c>
    </row>
    <row r="389" customFormat="false" ht="15" hidden="false" customHeight="false" outlineLevel="0" collapsed="false">
      <c r="B389" s="0" t="str">
        <f aca="false">IFERROR(IF(A389="","",VLOOKUP(A389,Clientes!$A$3:$B$202,2,FALSE())),"")</f>
        <v/>
      </c>
    </row>
    <row r="390" customFormat="false" ht="15" hidden="false" customHeight="false" outlineLevel="0" collapsed="false">
      <c r="B390" s="0" t="str">
        <f aca="false">IFERROR(IF(A390="","",VLOOKUP(A390,Clientes!$A$3:$B$202,2,FALSE())),"")</f>
        <v/>
      </c>
    </row>
    <row r="391" customFormat="false" ht="15" hidden="false" customHeight="false" outlineLevel="0" collapsed="false">
      <c r="B391" s="0" t="str">
        <f aca="false">IFERROR(IF(A391="","",VLOOKUP(A391,Clientes!$A$3:$B$202,2,FALSE())),"")</f>
        <v/>
      </c>
    </row>
    <row r="392" customFormat="false" ht="15" hidden="false" customHeight="false" outlineLevel="0" collapsed="false">
      <c r="B392" s="0" t="str">
        <f aca="false">IFERROR(IF(A392="","",VLOOKUP(A392,Clientes!$A$3:$B$202,2,FALSE())),"")</f>
        <v/>
      </c>
    </row>
    <row r="393" customFormat="false" ht="15" hidden="false" customHeight="false" outlineLevel="0" collapsed="false">
      <c r="B393" s="0" t="str">
        <f aca="false">IFERROR(IF(A393="","",VLOOKUP(A393,Clientes!$A$3:$B$202,2,FALSE())),"")</f>
        <v/>
      </c>
    </row>
    <row r="394" customFormat="false" ht="15" hidden="false" customHeight="false" outlineLevel="0" collapsed="false">
      <c r="B394" s="0" t="str">
        <f aca="false">IFERROR(IF(A394="","",VLOOKUP(A394,Clientes!$A$3:$B$202,2,FALSE())),"")</f>
        <v/>
      </c>
    </row>
    <row r="395" customFormat="false" ht="15" hidden="false" customHeight="false" outlineLevel="0" collapsed="false">
      <c r="B395" s="0" t="str">
        <f aca="false">IFERROR(IF(A395="","",VLOOKUP(A395,Clientes!$A$3:$B$202,2,FALSE())),"")</f>
        <v/>
      </c>
    </row>
    <row r="396" customFormat="false" ht="15" hidden="false" customHeight="false" outlineLevel="0" collapsed="false">
      <c r="B396" s="0" t="str">
        <f aca="false">IFERROR(IF(A396="","",VLOOKUP(A396,Clientes!$A$3:$B$202,2,FALSE())),"")</f>
        <v/>
      </c>
    </row>
    <row r="397" customFormat="false" ht="15" hidden="false" customHeight="false" outlineLevel="0" collapsed="false">
      <c r="B397" s="0" t="str">
        <f aca="false">IFERROR(IF(A397="","",VLOOKUP(A397,Clientes!$A$3:$B$202,2,FALSE())),"")</f>
        <v/>
      </c>
    </row>
    <row r="398" customFormat="false" ht="15" hidden="false" customHeight="false" outlineLevel="0" collapsed="false">
      <c r="B398" s="0" t="str">
        <f aca="false">IFERROR(IF(A398="","",VLOOKUP(A398,Clientes!$A$3:$B$202,2,FALSE())),"")</f>
        <v/>
      </c>
    </row>
    <row r="399" customFormat="false" ht="15" hidden="false" customHeight="false" outlineLevel="0" collapsed="false">
      <c r="B399" s="0" t="str">
        <f aca="false">IFERROR(IF(A399="","",VLOOKUP(A399,Clientes!$A$3:$B$202,2,FALSE())),"")</f>
        <v/>
      </c>
    </row>
    <row r="400" customFormat="false" ht="15" hidden="false" customHeight="false" outlineLevel="0" collapsed="false">
      <c r="B400" s="0" t="str">
        <f aca="false">IFERROR(IF(A400="","",VLOOKUP(A400,Clientes!$A$3:$B$202,2,FALSE())),"")</f>
        <v/>
      </c>
    </row>
    <row r="401" customFormat="false" ht="15" hidden="false" customHeight="false" outlineLevel="0" collapsed="false">
      <c r="B401" s="0" t="str">
        <f aca="false">IFERROR(IF(A401="","",VLOOKUP(A401,Clientes!$A$3:$B$202,2,FALSE())),"")</f>
        <v/>
      </c>
    </row>
    <row r="402" customFormat="false" ht="15" hidden="false" customHeight="false" outlineLevel="0" collapsed="false">
      <c r="B402" s="0" t="str">
        <f aca="false">IFERROR(IF(A402="","",VLOOKUP(A402,Clientes!$A$3:$B$202,2,FALSE())),"")</f>
        <v/>
      </c>
    </row>
  </sheetData>
  <mergeCells count="1">
    <mergeCell ref="A1:I1"/>
  </mergeCells>
  <dataValidations count="1">
    <dataValidation allowBlank="true" errorStyle="stop" operator="between" showDropDown="false" showErrorMessage="false" showInputMessage="false" sqref="C3:C402" type="list">
      <formula1>"AnyDesk,RustDesk,TeamViewer,VPN,RDP,Otro / Nota"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72"/>
    <col collapsed="false" customWidth="true" hidden="false" outlineLevel="0" max="7" min="7" style="0" width="30"/>
    <col collapsed="false" customWidth="true" hidden="false" outlineLevel="0" max="8" min="8" style="0" width="18"/>
  </cols>
  <sheetData>
    <row r="1" customFormat="false" ht="27.75" hidden="false" customHeight="true" outlineLevel="0" collapsed="false">
      <c r="A1" s="1" t="s">
        <v>499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4" t="s">
        <v>12</v>
      </c>
      <c r="B2" s="4" t="s">
        <v>206</v>
      </c>
      <c r="C2" s="4" t="s">
        <v>500</v>
      </c>
      <c r="D2" s="4" t="s">
        <v>501</v>
      </c>
      <c r="E2" s="4" t="s">
        <v>502</v>
      </c>
      <c r="F2" s="4" t="s">
        <v>503</v>
      </c>
      <c r="G2" s="4" t="s">
        <v>24</v>
      </c>
      <c r="H2" s="4" t="s">
        <v>23</v>
      </c>
    </row>
    <row r="3" customFormat="false" ht="15" hidden="false" customHeight="false" outlineLevel="0" collapsed="false">
      <c r="A3" s="5" t="s">
        <v>179</v>
      </c>
      <c r="B3" s="5" t="str">
        <f aca="false">IFERROR(IF(A3="","",VLOOKUP(A3,Clientes!$A$3:$B$202,2,FALSE())),"")</f>
        <v>VIGMA CONSULTORES</v>
      </c>
      <c r="C3" s="5" t="s">
        <v>504</v>
      </c>
      <c r="D3" s="5" t="s">
        <v>505</v>
      </c>
      <c r="E3" s="5" t="s">
        <v>506</v>
      </c>
      <c r="F3" s="5" t="s">
        <v>507</v>
      </c>
      <c r="G3" s="5" t="s">
        <v>508</v>
      </c>
      <c r="H3" s="5" t="s">
        <v>35</v>
      </c>
    </row>
    <row r="4" customFormat="false" ht="15" hidden="false" customHeight="false" outlineLevel="0" collapsed="false">
      <c r="A4" s="5" t="s">
        <v>197</v>
      </c>
      <c r="B4" s="5" t="str">
        <f aca="false">IFERROR(IF(A4="","",VLOOKUP(A4,Clientes!$A$3:$B$202,2,FALSE())),"")</f>
        <v>ABAK</v>
      </c>
      <c r="C4" s="5" t="s">
        <v>509</v>
      </c>
      <c r="D4" s="5" t="s">
        <v>505</v>
      </c>
      <c r="E4" s="5" t="s">
        <v>506</v>
      </c>
      <c r="F4" s="5" t="s">
        <v>510</v>
      </c>
      <c r="G4" s="5"/>
      <c r="H4" s="5" t="s">
        <v>35</v>
      </c>
    </row>
    <row r="5" customFormat="false" ht="15" hidden="false" customHeight="false" outlineLevel="0" collapsed="false">
      <c r="A5" s="5" t="s">
        <v>179</v>
      </c>
      <c r="B5" s="5" t="str">
        <f aca="false">IFERROR(IF(A5="","",VLOOKUP(A5,Clientes!$A$3:$B$202,2,FALSE())),"")</f>
        <v>VIGMA CONSULTORES</v>
      </c>
      <c r="C5" s="5" t="s">
        <v>511</v>
      </c>
      <c r="D5" s="5" t="s">
        <v>505</v>
      </c>
      <c r="E5" s="5" t="s">
        <v>506</v>
      </c>
      <c r="F5" s="5" t="s">
        <v>512</v>
      </c>
      <c r="G5" s="5"/>
      <c r="H5" s="5" t="s">
        <v>35</v>
      </c>
    </row>
    <row r="6" customFormat="false" ht="15" hidden="false" customHeight="false" outlineLevel="0" collapsed="false">
      <c r="A6" s="5" t="s">
        <v>189</v>
      </c>
      <c r="B6" s="5" t="str">
        <f aca="false">IFERROR(IF(A6="","",VLOOKUP(A6,Clientes!$A$3:$B$202,2,FALSE())),"")</f>
        <v>ZURICH ETIQUETAS</v>
      </c>
      <c r="C6" s="5" t="s">
        <v>513</v>
      </c>
      <c r="D6" s="5" t="s">
        <v>505</v>
      </c>
      <c r="E6" s="5" t="s">
        <v>514</v>
      </c>
      <c r="F6" s="5" t="s">
        <v>515</v>
      </c>
      <c r="G6" s="5"/>
      <c r="H6" s="5" t="s">
        <v>35</v>
      </c>
    </row>
    <row r="7" customFormat="false" ht="15" hidden="false" customHeight="false" outlineLevel="0" collapsed="false">
      <c r="A7" s="5" t="s">
        <v>150</v>
      </c>
      <c r="B7" s="5" t="str">
        <f aca="false">IFERROR(IF(A7="","",VLOOKUP(A7,Clientes!$A$3:$B$202,2,FALSE())),"")</f>
        <v>MULEGE (BC)</v>
      </c>
      <c r="C7" s="5" t="s">
        <v>516</v>
      </c>
      <c r="D7" s="5" t="s">
        <v>505</v>
      </c>
      <c r="E7" s="5" t="s">
        <v>506</v>
      </c>
      <c r="F7" s="5" t="s">
        <v>517</v>
      </c>
      <c r="G7" s="5"/>
      <c r="H7" s="5" t="s">
        <v>35</v>
      </c>
    </row>
    <row r="8" customFormat="false" ht="15" hidden="false" customHeight="false" outlineLevel="0" collapsed="false">
      <c r="A8" s="5" t="s">
        <v>143</v>
      </c>
      <c r="B8" s="5" t="str">
        <f aca="false">IFERROR(IF(A8="","",VLOOKUP(A8,Clientes!$A$3:$B$202,2,FALSE())),"")</f>
        <v>MIXQUIAHUALA</v>
      </c>
      <c r="C8" s="5" t="s">
        <v>518</v>
      </c>
      <c r="D8" s="5" t="s">
        <v>505</v>
      </c>
      <c r="E8" s="5" t="s">
        <v>506</v>
      </c>
      <c r="F8" s="5" t="s">
        <v>519</v>
      </c>
      <c r="G8" s="5"/>
      <c r="H8" s="5" t="s">
        <v>35</v>
      </c>
    </row>
    <row r="9" customFormat="false" ht="15" hidden="false" customHeight="false" outlineLevel="0" collapsed="false">
      <c r="A9" s="5" t="s">
        <v>94</v>
      </c>
      <c r="B9" s="5" t="str">
        <f aca="false">IFERROR(IF(A9="","",VLOOKUP(A9,Clientes!$A$3:$B$202,2,FALSE())),"")</f>
        <v>CUAUTEPEC ASERRADERO</v>
      </c>
      <c r="C9" s="5" t="s">
        <v>520</v>
      </c>
      <c r="D9" s="5" t="s">
        <v>505</v>
      </c>
      <c r="E9" s="5" t="s">
        <v>506</v>
      </c>
      <c r="F9" s="5" t="s">
        <v>521</v>
      </c>
      <c r="G9" s="5"/>
      <c r="H9" s="5" t="s">
        <v>35</v>
      </c>
    </row>
    <row r="10" customFormat="false" ht="15" hidden="false" customHeight="false" outlineLevel="0" collapsed="false">
      <c r="A10" s="5" t="s">
        <v>134</v>
      </c>
      <c r="B10" s="5" t="str">
        <f aca="false">IFERROR(IF(A10="","",VLOOKUP(A10,Clientes!$A$3:$B$202,2,FALSE())),"")</f>
        <v>HUEJUTLA</v>
      </c>
      <c r="C10" s="5" t="s">
        <v>522</v>
      </c>
      <c r="D10" s="5" t="s">
        <v>505</v>
      </c>
      <c r="E10" s="5" t="s">
        <v>506</v>
      </c>
      <c r="F10" s="5" t="s">
        <v>523</v>
      </c>
      <c r="G10" s="5"/>
      <c r="H10" s="5" t="s">
        <v>35</v>
      </c>
    </row>
    <row r="11" customFormat="false" ht="15" hidden="false" customHeight="false" outlineLevel="0" collapsed="false">
      <c r="A11" s="5" t="s">
        <v>160</v>
      </c>
      <c r="B11" s="5" t="str">
        <f aca="false">IFERROR(IF(A11="","",VLOOKUP(A11,Clientes!$A$3:$B$202,2,FALSE())),"")</f>
        <v>PROGRESO</v>
      </c>
      <c r="C11" s="5" t="s">
        <v>524</v>
      </c>
      <c r="D11" s="5" t="s">
        <v>505</v>
      </c>
      <c r="E11" s="5" t="s">
        <v>506</v>
      </c>
      <c r="F11" s="5" t="s">
        <v>525</v>
      </c>
      <c r="G11" s="5"/>
      <c r="H11" s="5" t="s">
        <v>35</v>
      </c>
    </row>
    <row r="12" customFormat="false" ht="15" hidden="false" customHeight="false" outlineLevel="0" collapsed="false">
      <c r="A12" s="5" t="s">
        <v>76</v>
      </c>
      <c r="B12" s="5" t="str">
        <f aca="false">IFERROR(IF(A12="","",VLOOKUP(A12,Clientes!$A$3:$B$202,2,FALSE())),"")</f>
        <v>CLASS LABELS</v>
      </c>
      <c r="C12" s="5" t="s">
        <v>526</v>
      </c>
      <c r="D12" s="5" t="s">
        <v>505</v>
      </c>
      <c r="E12" s="5" t="s">
        <v>506</v>
      </c>
      <c r="F12" s="5" t="s">
        <v>527</v>
      </c>
      <c r="G12" s="5"/>
      <c r="H12" s="5" t="s">
        <v>35</v>
      </c>
    </row>
    <row r="13" customFormat="false" ht="15" hidden="false" customHeight="false" outlineLevel="0" collapsed="false">
      <c r="A13" s="5" t="s">
        <v>36</v>
      </c>
      <c r="B13" s="5" t="str">
        <f aca="false">IFERROR(IF(A13="","",VLOOKUP(A13,Clientes!$A$3:$B$202,2,FALSE())),"")</f>
        <v>ACTOPAN AGUA</v>
      </c>
      <c r="C13" s="5" t="s">
        <v>528</v>
      </c>
      <c r="D13" s="5" t="s">
        <v>505</v>
      </c>
      <c r="E13" s="5" t="s">
        <v>506</v>
      </c>
      <c r="F13" s="5" t="s">
        <v>529</v>
      </c>
      <c r="G13" s="5"/>
      <c r="H13" s="5" t="s">
        <v>35</v>
      </c>
    </row>
    <row r="14" customFormat="false" ht="15" hidden="false" customHeight="false" outlineLevel="0" collapsed="false">
      <c r="A14" s="5" t="s">
        <v>173</v>
      </c>
      <c r="B14" s="5" t="str">
        <f aca="false">IFERROR(IF(A14="","",VLOOKUP(A14,Clientes!$A$3:$B$202,2,FALSE())),"")</f>
        <v>TEZONTEPEC</v>
      </c>
      <c r="C14" s="5" t="s">
        <v>530</v>
      </c>
      <c r="D14" s="5" t="s">
        <v>505</v>
      </c>
      <c r="E14" s="5" t="s">
        <v>506</v>
      </c>
      <c r="F14" s="5" t="s">
        <v>531</v>
      </c>
      <c r="G14" s="5"/>
      <c r="H14" s="5" t="s">
        <v>35</v>
      </c>
    </row>
    <row r="15" customFormat="false" ht="15" hidden="false" customHeight="false" outlineLevel="0" collapsed="false">
      <c r="A15" s="5" t="s">
        <v>50</v>
      </c>
      <c r="B15" s="5" t="str">
        <f aca="false">IFERROR(IF(A15="","",VLOOKUP(A15,Clientes!$A$3:$B$202,2,FALSE())),"")</f>
        <v>AJACUBA</v>
      </c>
      <c r="C15" s="5" t="s">
        <v>532</v>
      </c>
      <c r="D15" s="5" t="s">
        <v>505</v>
      </c>
      <c r="E15" s="5" t="s">
        <v>506</v>
      </c>
      <c r="F15" s="5" t="s">
        <v>533</v>
      </c>
      <c r="G15" s="5"/>
      <c r="H15" s="5" t="s">
        <v>35</v>
      </c>
    </row>
    <row r="16" customFormat="false" ht="15" hidden="false" customHeight="false" outlineLevel="0" collapsed="false">
      <c r="A16" s="5" t="s">
        <v>25</v>
      </c>
      <c r="B16" s="5" t="str">
        <f aca="false">IFERROR(IF(A16="","",VLOOKUP(A16,Clientes!$A$3:$B$202,2,FALSE())),"")</f>
        <v>ACAXOCHITLAN</v>
      </c>
      <c r="C16" s="5" t="s">
        <v>534</v>
      </c>
      <c r="D16" s="5" t="s">
        <v>505</v>
      </c>
      <c r="E16" s="5" t="s">
        <v>506</v>
      </c>
      <c r="F16" s="5" t="s">
        <v>535</v>
      </c>
      <c r="G16" s="5"/>
      <c r="H16" s="5" t="s">
        <v>35</v>
      </c>
    </row>
    <row r="17" customFormat="false" ht="15" hidden="false" customHeight="false" outlineLevel="0" collapsed="false">
      <c r="A17" s="5" t="s">
        <v>68</v>
      </c>
      <c r="B17" s="5" t="str">
        <f aca="false">IFERROR(IF(A17="","",VLOOKUP(A17,Clientes!$A$3:$B$202,2,FALSE())),"")</f>
        <v>ARENAL</v>
      </c>
      <c r="C17" s="5" t="s">
        <v>536</v>
      </c>
      <c r="D17" s="5" t="s">
        <v>505</v>
      </c>
      <c r="E17" s="5" t="s">
        <v>506</v>
      </c>
      <c r="F17" s="5" t="s">
        <v>537</v>
      </c>
      <c r="G17" s="5"/>
      <c r="H17" s="5" t="s">
        <v>35</v>
      </c>
    </row>
    <row r="18" customFormat="false" ht="15" hidden="false" customHeight="false" outlineLevel="0" collapsed="false">
      <c r="A18" s="5" t="s">
        <v>85</v>
      </c>
      <c r="B18" s="5" t="str">
        <f aca="false">IFERROR(IF(A18="","",VLOOKUP(A18,Clientes!$A$3:$B$202,2,FALSE())),"")</f>
        <v>CUAUTEPEC AGUA</v>
      </c>
      <c r="C18" s="5" t="s">
        <v>538</v>
      </c>
      <c r="D18" s="5" t="s">
        <v>505</v>
      </c>
      <c r="E18" s="5" t="s">
        <v>506</v>
      </c>
      <c r="F18" s="5" t="s">
        <v>539</v>
      </c>
      <c r="G18" s="5"/>
      <c r="H18" s="5" t="s">
        <v>35</v>
      </c>
    </row>
    <row r="19" customFormat="false" ht="15" hidden="false" customHeight="false" outlineLevel="0" collapsed="false">
      <c r="A19" s="5" t="s">
        <v>125</v>
      </c>
      <c r="B19" s="5" t="str">
        <f aca="false">IFERROR(IF(A19="","",VLOOKUP(A19,Clientes!$A$3:$B$202,2,FALSE())),"")</f>
        <v>HUASCA</v>
      </c>
      <c r="C19" s="5" t="s">
        <v>540</v>
      </c>
      <c r="D19" s="5" t="s">
        <v>505</v>
      </c>
      <c r="E19" s="5" t="s">
        <v>506</v>
      </c>
      <c r="F19" s="5" t="s">
        <v>541</v>
      </c>
      <c r="G19" s="5"/>
      <c r="H19" s="5" t="s">
        <v>35</v>
      </c>
    </row>
    <row r="20" customFormat="false" ht="15" hidden="false" customHeight="false" outlineLevel="0" collapsed="false">
      <c r="B20" s="0" t="str">
        <f aca="false">IFERROR(IF(A20="","",VLOOKUP(A20,Clientes!$A$3:$B$202,2,FALSE())),"")</f>
        <v/>
      </c>
    </row>
    <row r="21" customFormat="false" ht="15" hidden="false" customHeight="false" outlineLevel="0" collapsed="false">
      <c r="B21" s="0" t="str">
        <f aca="false">IFERROR(IF(A21="","",VLOOKUP(A21,Clientes!$A$3:$B$202,2,FALSE())),"")</f>
        <v/>
      </c>
    </row>
    <row r="22" customFormat="false" ht="15" hidden="false" customHeight="false" outlineLevel="0" collapsed="false">
      <c r="B22" s="0" t="str">
        <f aca="false">IFERROR(IF(A22="","",VLOOKUP(A22,Clientes!$A$3:$B$202,2,FALSE())),"")</f>
        <v/>
      </c>
    </row>
    <row r="23" customFormat="false" ht="15" hidden="false" customHeight="false" outlineLevel="0" collapsed="false">
      <c r="B23" s="0" t="str">
        <f aca="false">IFERROR(IF(A23="","",VLOOKUP(A23,Clientes!$A$3:$B$202,2,FALSE())),"")</f>
        <v/>
      </c>
    </row>
    <row r="24" customFormat="false" ht="15" hidden="false" customHeight="false" outlineLevel="0" collapsed="false">
      <c r="B24" s="0" t="str">
        <f aca="false">IFERROR(IF(A24="","",VLOOKUP(A24,Clientes!$A$3:$B$202,2,FALSE())),"")</f>
        <v/>
      </c>
    </row>
    <row r="25" customFormat="false" ht="15" hidden="false" customHeight="false" outlineLevel="0" collapsed="false">
      <c r="B25" s="0" t="str">
        <f aca="false">IFERROR(IF(A25="","",VLOOKUP(A25,Clientes!$A$3:$B$202,2,FALSE())),"")</f>
        <v/>
      </c>
    </row>
    <row r="26" customFormat="false" ht="15" hidden="false" customHeight="false" outlineLevel="0" collapsed="false">
      <c r="B26" s="0" t="str">
        <f aca="false">IFERROR(IF(A26="","",VLOOKUP(A26,Clientes!$A$3:$B$202,2,FALSE())),"")</f>
        <v/>
      </c>
    </row>
    <row r="27" customFormat="false" ht="15" hidden="false" customHeight="false" outlineLevel="0" collapsed="false">
      <c r="B27" s="0" t="str">
        <f aca="false">IFERROR(IF(A27="","",VLOOKUP(A27,Clientes!$A$3:$B$202,2,FALSE())),"")</f>
        <v/>
      </c>
    </row>
    <row r="28" customFormat="false" ht="15" hidden="false" customHeight="false" outlineLevel="0" collapsed="false">
      <c r="B28" s="0" t="str">
        <f aca="false">IFERROR(IF(A28="","",VLOOKUP(A28,Clientes!$A$3:$B$202,2,FALSE())),"")</f>
        <v/>
      </c>
    </row>
    <row r="29" customFormat="false" ht="15" hidden="false" customHeight="false" outlineLevel="0" collapsed="false">
      <c r="B29" s="0" t="str">
        <f aca="false">IFERROR(IF(A29="","",VLOOKUP(A29,Clientes!$A$3:$B$202,2,FALSE())),"")</f>
        <v/>
      </c>
    </row>
    <row r="30" customFormat="false" ht="15" hidden="false" customHeight="false" outlineLevel="0" collapsed="false">
      <c r="B30" s="0" t="str">
        <f aca="false">IFERROR(IF(A30="","",VLOOKUP(A30,Clientes!$A$3:$B$202,2,FALSE())),"")</f>
        <v/>
      </c>
    </row>
    <row r="31" customFormat="false" ht="15" hidden="false" customHeight="false" outlineLevel="0" collapsed="false">
      <c r="B31" s="0" t="str">
        <f aca="false">IFERROR(IF(A31="","",VLOOKUP(A31,Clientes!$A$3:$B$202,2,FALSE())),"")</f>
        <v/>
      </c>
    </row>
    <row r="32" customFormat="false" ht="15" hidden="false" customHeight="false" outlineLevel="0" collapsed="false">
      <c r="B32" s="0" t="str">
        <f aca="false">IFERROR(IF(A32="","",VLOOKUP(A32,Clientes!$A$3:$B$202,2,FALSE())),"")</f>
        <v/>
      </c>
    </row>
    <row r="33" customFormat="false" ht="15" hidden="false" customHeight="false" outlineLevel="0" collapsed="false">
      <c r="B33" s="0" t="str">
        <f aca="false">IFERROR(IF(A33="","",VLOOKUP(A33,Clientes!$A$3:$B$202,2,FALSE())),"")</f>
        <v/>
      </c>
    </row>
    <row r="34" customFormat="false" ht="15" hidden="false" customHeight="false" outlineLevel="0" collapsed="false">
      <c r="B34" s="0" t="str">
        <f aca="false">IFERROR(IF(A34="","",VLOOKUP(A34,Clientes!$A$3:$B$202,2,FALSE())),"")</f>
        <v/>
      </c>
    </row>
    <row r="35" customFormat="false" ht="15" hidden="false" customHeight="false" outlineLevel="0" collapsed="false">
      <c r="B35" s="0" t="str">
        <f aca="false">IFERROR(IF(A35="","",VLOOKUP(A35,Clientes!$A$3:$B$202,2,FALSE())),"")</f>
        <v/>
      </c>
    </row>
    <row r="36" customFormat="false" ht="15" hidden="false" customHeight="false" outlineLevel="0" collapsed="false">
      <c r="B36" s="0" t="str">
        <f aca="false">IFERROR(IF(A36="","",VLOOKUP(A36,Clientes!$A$3:$B$202,2,FALSE())),"")</f>
        <v/>
      </c>
    </row>
    <row r="37" customFormat="false" ht="15" hidden="false" customHeight="false" outlineLevel="0" collapsed="false">
      <c r="B37" s="0" t="str">
        <f aca="false">IFERROR(IF(A37="","",VLOOKUP(A37,Clientes!$A$3:$B$202,2,FALSE())),"")</f>
        <v/>
      </c>
    </row>
    <row r="38" customFormat="false" ht="15" hidden="false" customHeight="false" outlineLevel="0" collapsed="false">
      <c r="B38" s="0" t="str">
        <f aca="false">IFERROR(IF(A38="","",VLOOKUP(A38,Clientes!$A$3:$B$202,2,FALSE())),"")</f>
        <v/>
      </c>
    </row>
    <row r="39" customFormat="false" ht="15" hidden="false" customHeight="false" outlineLevel="0" collapsed="false">
      <c r="B39" s="0" t="str">
        <f aca="false">IFERROR(IF(A39="","",VLOOKUP(A39,Clientes!$A$3:$B$202,2,FALSE())),"")</f>
        <v/>
      </c>
    </row>
    <row r="40" customFormat="false" ht="15" hidden="false" customHeight="false" outlineLevel="0" collapsed="false">
      <c r="B40" s="0" t="str">
        <f aca="false">IFERROR(IF(A40="","",VLOOKUP(A40,Clientes!$A$3:$B$202,2,FALSE())),"")</f>
        <v/>
      </c>
    </row>
    <row r="41" customFormat="false" ht="15" hidden="false" customHeight="false" outlineLevel="0" collapsed="false">
      <c r="B41" s="0" t="str">
        <f aca="false">IFERROR(IF(A41="","",VLOOKUP(A41,Clientes!$A$3:$B$202,2,FALSE())),"")</f>
        <v/>
      </c>
    </row>
    <row r="42" customFormat="false" ht="15" hidden="false" customHeight="false" outlineLevel="0" collapsed="false">
      <c r="B42" s="0" t="str">
        <f aca="false">IFERROR(IF(A42="","",VLOOKUP(A42,Clientes!$A$3:$B$202,2,FALSE())),"")</f>
        <v/>
      </c>
    </row>
    <row r="43" customFormat="false" ht="15" hidden="false" customHeight="false" outlineLevel="0" collapsed="false">
      <c r="B43" s="0" t="str">
        <f aca="false">IFERROR(IF(A43="","",VLOOKUP(A43,Clientes!$A$3:$B$202,2,FALSE())),"")</f>
        <v/>
      </c>
    </row>
    <row r="44" customFormat="false" ht="15" hidden="false" customHeight="false" outlineLevel="0" collapsed="false">
      <c r="B44" s="0" t="str">
        <f aca="false">IFERROR(IF(A44="","",VLOOKUP(A44,Clientes!$A$3:$B$202,2,FALSE())),"")</f>
        <v/>
      </c>
    </row>
    <row r="45" customFormat="false" ht="15" hidden="false" customHeight="false" outlineLevel="0" collapsed="false">
      <c r="B45" s="0" t="str">
        <f aca="false">IFERROR(IF(A45="","",VLOOKUP(A45,Clientes!$A$3:$B$202,2,FALSE())),"")</f>
        <v/>
      </c>
    </row>
    <row r="46" customFormat="false" ht="15" hidden="false" customHeight="false" outlineLevel="0" collapsed="false">
      <c r="B46" s="0" t="str">
        <f aca="false">IFERROR(IF(A46="","",VLOOKUP(A46,Clientes!$A$3:$B$202,2,FALSE())),"")</f>
        <v/>
      </c>
    </row>
    <row r="47" customFormat="false" ht="15" hidden="false" customHeight="false" outlineLevel="0" collapsed="false">
      <c r="B47" s="0" t="str">
        <f aca="false">IFERROR(IF(A47="","",VLOOKUP(A47,Clientes!$A$3:$B$202,2,FALSE())),"")</f>
        <v/>
      </c>
    </row>
    <row r="48" customFormat="false" ht="15" hidden="false" customHeight="false" outlineLevel="0" collapsed="false">
      <c r="B48" s="0" t="str">
        <f aca="false">IFERROR(IF(A48="","",VLOOKUP(A48,Clientes!$A$3:$B$202,2,FALSE())),"")</f>
        <v/>
      </c>
    </row>
    <row r="49" customFormat="false" ht="15" hidden="false" customHeight="false" outlineLevel="0" collapsed="false">
      <c r="B49" s="0" t="str">
        <f aca="false">IFERROR(IF(A49="","",VLOOKUP(A49,Clientes!$A$3:$B$202,2,FALSE())),"")</f>
        <v/>
      </c>
    </row>
    <row r="50" customFormat="false" ht="15" hidden="false" customHeight="false" outlineLevel="0" collapsed="false">
      <c r="B50" s="0" t="str">
        <f aca="false">IFERROR(IF(A50="","",VLOOKUP(A50,Clientes!$A$3:$B$202,2,FALSE())),"")</f>
        <v/>
      </c>
    </row>
    <row r="51" customFormat="false" ht="15" hidden="false" customHeight="false" outlineLevel="0" collapsed="false">
      <c r="B51" s="0" t="str">
        <f aca="false">IFERROR(IF(A51="","",VLOOKUP(A51,Clientes!$A$3:$B$202,2,FALSE())),"")</f>
        <v/>
      </c>
    </row>
    <row r="52" customFormat="false" ht="15" hidden="false" customHeight="false" outlineLevel="0" collapsed="false">
      <c r="B52" s="0" t="str">
        <f aca="false">IFERROR(IF(A52="","",VLOOKUP(A52,Clientes!$A$3:$B$202,2,FALSE())),"")</f>
        <v/>
      </c>
    </row>
    <row r="53" customFormat="false" ht="15" hidden="false" customHeight="false" outlineLevel="0" collapsed="false">
      <c r="B53" s="0" t="str">
        <f aca="false">IFERROR(IF(A53="","",VLOOKUP(A53,Clientes!$A$3:$B$202,2,FALSE())),"")</f>
        <v/>
      </c>
    </row>
    <row r="54" customFormat="false" ht="15" hidden="false" customHeight="false" outlineLevel="0" collapsed="false">
      <c r="B54" s="0" t="str">
        <f aca="false">IFERROR(IF(A54="","",VLOOKUP(A54,Clientes!$A$3:$B$202,2,FALSE())),"")</f>
        <v/>
      </c>
    </row>
    <row r="55" customFormat="false" ht="15" hidden="false" customHeight="false" outlineLevel="0" collapsed="false">
      <c r="B55" s="0" t="str">
        <f aca="false">IFERROR(IF(A55="","",VLOOKUP(A55,Clientes!$A$3:$B$202,2,FALSE())),"")</f>
        <v/>
      </c>
    </row>
    <row r="56" customFormat="false" ht="15" hidden="false" customHeight="false" outlineLevel="0" collapsed="false">
      <c r="B56" s="0" t="str">
        <f aca="false">IFERROR(IF(A56="","",VLOOKUP(A56,Clientes!$A$3:$B$202,2,FALSE())),"")</f>
        <v/>
      </c>
    </row>
    <row r="57" customFormat="false" ht="15" hidden="false" customHeight="false" outlineLevel="0" collapsed="false">
      <c r="B57" s="0" t="str">
        <f aca="false">IFERROR(IF(A57="","",VLOOKUP(A57,Clientes!$A$3:$B$202,2,FALSE())),"")</f>
        <v/>
      </c>
    </row>
    <row r="58" customFormat="false" ht="15" hidden="false" customHeight="false" outlineLevel="0" collapsed="false">
      <c r="B58" s="0" t="str">
        <f aca="false">IFERROR(IF(A58="","",VLOOKUP(A58,Clientes!$A$3:$B$202,2,FALSE())),"")</f>
        <v/>
      </c>
    </row>
    <row r="59" customFormat="false" ht="15" hidden="false" customHeight="false" outlineLevel="0" collapsed="false">
      <c r="B59" s="0" t="str">
        <f aca="false">IFERROR(IF(A59="","",VLOOKUP(A59,Clientes!$A$3:$B$202,2,FALSE())),"")</f>
        <v/>
      </c>
    </row>
    <row r="60" customFormat="false" ht="15" hidden="false" customHeight="false" outlineLevel="0" collapsed="false">
      <c r="B60" s="0" t="str">
        <f aca="false">IFERROR(IF(A60="","",VLOOKUP(A60,Clientes!$A$3:$B$202,2,FALSE())),"")</f>
        <v/>
      </c>
    </row>
    <row r="61" customFormat="false" ht="15" hidden="false" customHeight="false" outlineLevel="0" collapsed="false">
      <c r="B61" s="0" t="str">
        <f aca="false">IFERROR(IF(A61="","",VLOOKUP(A61,Clientes!$A$3:$B$202,2,FALSE())),"")</f>
        <v/>
      </c>
    </row>
    <row r="62" customFormat="false" ht="15" hidden="false" customHeight="false" outlineLevel="0" collapsed="false">
      <c r="B62" s="0" t="str">
        <f aca="false">IFERROR(IF(A62="","",VLOOKUP(A62,Clientes!$A$3:$B$202,2,FALSE())),"")</f>
        <v/>
      </c>
    </row>
    <row r="63" customFormat="false" ht="15" hidden="false" customHeight="false" outlineLevel="0" collapsed="false">
      <c r="B63" s="0" t="str">
        <f aca="false">IFERROR(IF(A63="","",VLOOKUP(A63,Clientes!$A$3:$B$202,2,FALSE())),"")</f>
        <v/>
      </c>
    </row>
    <row r="64" customFormat="false" ht="15" hidden="false" customHeight="false" outlineLevel="0" collapsed="false">
      <c r="B64" s="0" t="str">
        <f aca="false">IFERROR(IF(A64="","",VLOOKUP(A64,Clientes!$A$3:$B$202,2,FALSE())),"")</f>
        <v/>
      </c>
    </row>
    <row r="65" customFormat="false" ht="15" hidden="false" customHeight="false" outlineLevel="0" collapsed="false">
      <c r="B65" s="0" t="str">
        <f aca="false">IFERROR(IF(A65="","",VLOOKUP(A65,Clientes!$A$3:$B$202,2,FALSE())),"")</f>
        <v/>
      </c>
    </row>
    <row r="66" customFormat="false" ht="15" hidden="false" customHeight="false" outlineLevel="0" collapsed="false">
      <c r="B66" s="0" t="str">
        <f aca="false">IFERROR(IF(A66="","",VLOOKUP(A66,Clientes!$A$3:$B$202,2,FALSE())),"")</f>
        <v/>
      </c>
    </row>
    <row r="67" customFormat="false" ht="15" hidden="false" customHeight="false" outlineLevel="0" collapsed="false">
      <c r="B67" s="0" t="str">
        <f aca="false">IFERROR(IF(A67="","",VLOOKUP(A67,Clientes!$A$3:$B$202,2,FALSE())),"")</f>
        <v/>
      </c>
    </row>
    <row r="68" customFormat="false" ht="15" hidden="false" customHeight="false" outlineLevel="0" collapsed="false">
      <c r="B68" s="0" t="str">
        <f aca="false">IFERROR(IF(A68="","",VLOOKUP(A68,Clientes!$A$3:$B$202,2,FALSE())),"")</f>
        <v/>
      </c>
    </row>
    <row r="69" customFormat="false" ht="15" hidden="false" customHeight="false" outlineLevel="0" collapsed="false">
      <c r="B69" s="0" t="str">
        <f aca="false">IFERROR(IF(A69="","",VLOOKUP(A69,Clientes!$A$3:$B$202,2,FALSE())),"")</f>
        <v/>
      </c>
    </row>
    <row r="70" customFormat="false" ht="15" hidden="false" customHeight="false" outlineLevel="0" collapsed="false">
      <c r="B70" s="0" t="str">
        <f aca="false">IFERROR(IF(A70="","",VLOOKUP(A70,Clientes!$A$3:$B$202,2,FALSE())),"")</f>
        <v/>
      </c>
    </row>
    <row r="71" customFormat="false" ht="15" hidden="false" customHeight="false" outlineLevel="0" collapsed="false">
      <c r="B71" s="0" t="str">
        <f aca="false">IFERROR(IF(A71="","",VLOOKUP(A71,Clientes!$A$3:$B$202,2,FALSE())),"")</f>
        <v/>
      </c>
    </row>
    <row r="72" customFormat="false" ht="15" hidden="false" customHeight="false" outlineLevel="0" collapsed="false">
      <c r="B72" s="0" t="str">
        <f aca="false">IFERROR(IF(A72="","",VLOOKUP(A72,Clientes!$A$3:$B$202,2,FALSE())),"")</f>
        <v/>
      </c>
    </row>
    <row r="73" customFormat="false" ht="15" hidden="false" customHeight="false" outlineLevel="0" collapsed="false">
      <c r="B73" s="0" t="str">
        <f aca="false">IFERROR(IF(A73="","",VLOOKUP(A73,Clientes!$A$3:$B$202,2,FALSE())),"")</f>
        <v/>
      </c>
    </row>
    <row r="74" customFormat="false" ht="15" hidden="false" customHeight="false" outlineLevel="0" collapsed="false">
      <c r="B74" s="0" t="str">
        <f aca="false">IFERROR(IF(A74="","",VLOOKUP(A74,Clientes!$A$3:$B$202,2,FALSE())),"")</f>
        <v/>
      </c>
    </row>
    <row r="75" customFormat="false" ht="15" hidden="false" customHeight="false" outlineLevel="0" collapsed="false">
      <c r="B75" s="0" t="str">
        <f aca="false">IFERROR(IF(A75="","",VLOOKUP(A75,Clientes!$A$3:$B$202,2,FALSE())),"")</f>
        <v/>
      </c>
    </row>
    <row r="76" customFormat="false" ht="15" hidden="false" customHeight="false" outlineLevel="0" collapsed="false">
      <c r="B76" s="0" t="str">
        <f aca="false">IFERROR(IF(A76="","",VLOOKUP(A76,Clientes!$A$3:$B$202,2,FALSE())),"")</f>
        <v/>
      </c>
    </row>
    <row r="77" customFormat="false" ht="15" hidden="false" customHeight="false" outlineLevel="0" collapsed="false">
      <c r="B77" s="0" t="str">
        <f aca="false">IFERROR(IF(A77="","",VLOOKUP(A77,Clientes!$A$3:$B$202,2,FALSE())),"")</f>
        <v/>
      </c>
    </row>
    <row r="78" customFormat="false" ht="15" hidden="false" customHeight="false" outlineLevel="0" collapsed="false">
      <c r="B78" s="0" t="str">
        <f aca="false">IFERROR(IF(A78="","",VLOOKUP(A78,Clientes!$A$3:$B$202,2,FALSE())),"")</f>
        <v/>
      </c>
    </row>
    <row r="79" customFormat="false" ht="15" hidden="false" customHeight="false" outlineLevel="0" collapsed="false">
      <c r="B79" s="0" t="str">
        <f aca="false">IFERROR(IF(A79="","",VLOOKUP(A79,Clientes!$A$3:$B$202,2,FALSE())),"")</f>
        <v/>
      </c>
    </row>
    <row r="80" customFormat="false" ht="15" hidden="false" customHeight="false" outlineLevel="0" collapsed="false">
      <c r="B80" s="0" t="str">
        <f aca="false">IFERROR(IF(A80="","",VLOOKUP(A80,Clientes!$A$3:$B$202,2,FALSE())),"")</f>
        <v/>
      </c>
    </row>
    <row r="81" customFormat="false" ht="15" hidden="false" customHeight="false" outlineLevel="0" collapsed="false">
      <c r="B81" s="0" t="str">
        <f aca="false">IFERROR(IF(A81="","",VLOOKUP(A81,Clientes!$A$3:$B$202,2,FALSE())),"")</f>
        <v/>
      </c>
    </row>
    <row r="82" customFormat="false" ht="15" hidden="false" customHeight="false" outlineLevel="0" collapsed="false">
      <c r="B82" s="0" t="str">
        <f aca="false">IFERROR(IF(A82="","",VLOOKUP(A82,Clientes!$A$3:$B$202,2,FALSE())),"")</f>
        <v/>
      </c>
    </row>
    <row r="83" customFormat="false" ht="15" hidden="false" customHeight="false" outlineLevel="0" collapsed="false">
      <c r="B83" s="0" t="str">
        <f aca="false">IFERROR(IF(A83="","",VLOOKUP(A83,Clientes!$A$3:$B$202,2,FALSE())),"")</f>
        <v/>
      </c>
    </row>
    <row r="84" customFormat="false" ht="15" hidden="false" customHeight="false" outlineLevel="0" collapsed="false">
      <c r="B84" s="0" t="str">
        <f aca="false">IFERROR(IF(A84="","",VLOOKUP(A84,Clientes!$A$3:$B$202,2,FALSE())),"")</f>
        <v/>
      </c>
    </row>
    <row r="85" customFormat="false" ht="15" hidden="false" customHeight="false" outlineLevel="0" collapsed="false">
      <c r="B85" s="0" t="str">
        <f aca="false">IFERROR(IF(A85="","",VLOOKUP(A85,Clientes!$A$3:$B$202,2,FALSE())),"")</f>
        <v/>
      </c>
    </row>
    <row r="86" customFormat="false" ht="15" hidden="false" customHeight="false" outlineLevel="0" collapsed="false">
      <c r="B86" s="0" t="str">
        <f aca="false">IFERROR(IF(A86="","",VLOOKUP(A86,Clientes!$A$3:$B$202,2,FALSE())),"")</f>
        <v/>
      </c>
    </row>
    <row r="87" customFormat="false" ht="15" hidden="false" customHeight="false" outlineLevel="0" collapsed="false">
      <c r="B87" s="0" t="str">
        <f aca="false">IFERROR(IF(A87="","",VLOOKUP(A87,Clientes!$A$3:$B$202,2,FALSE())),"")</f>
        <v/>
      </c>
    </row>
    <row r="88" customFormat="false" ht="15" hidden="false" customHeight="false" outlineLevel="0" collapsed="false">
      <c r="B88" s="0" t="str">
        <f aca="false">IFERROR(IF(A88="","",VLOOKUP(A88,Clientes!$A$3:$B$202,2,FALSE())),"")</f>
        <v/>
      </c>
    </row>
    <row r="89" customFormat="false" ht="15" hidden="false" customHeight="false" outlineLevel="0" collapsed="false">
      <c r="B89" s="0" t="str">
        <f aca="false">IFERROR(IF(A89="","",VLOOKUP(A89,Clientes!$A$3:$B$202,2,FALSE())),"")</f>
        <v/>
      </c>
    </row>
    <row r="90" customFormat="false" ht="15" hidden="false" customHeight="false" outlineLevel="0" collapsed="false">
      <c r="B90" s="0" t="str">
        <f aca="false">IFERROR(IF(A90="","",VLOOKUP(A90,Clientes!$A$3:$B$202,2,FALSE())),"")</f>
        <v/>
      </c>
    </row>
    <row r="91" customFormat="false" ht="15" hidden="false" customHeight="false" outlineLevel="0" collapsed="false">
      <c r="B91" s="0" t="str">
        <f aca="false">IFERROR(IF(A91="","",VLOOKUP(A91,Clientes!$A$3:$B$202,2,FALSE())),"")</f>
        <v/>
      </c>
    </row>
    <row r="92" customFormat="false" ht="15" hidden="false" customHeight="false" outlineLevel="0" collapsed="false">
      <c r="B92" s="0" t="str">
        <f aca="false">IFERROR(IF(A92="","",VLOOKUP(A92,Clientes!$A$3:$B$202,2,FALSE())),"")</f>
        <v/>
      </c>
    </row>
    <row r="93" customFormat="false" ht="15" hidden="false" customHeight="false" outlineLevel="0" collapsed="false">
      <c r="B93" s="0" t="str">
        <f aca="false">IFERROR(IF(A93="","",VLOOKUP(A93,Clientes!$A$3:$B$202,2,FALSE())),"")</f>
        <v/>
      </c>
    </row>
    <row r="94" customFormat="false" ht="15" hidden="false" customHeight="false" outlineLevel="0" collapsed="false">
      <c r="B94" s="0" t="str">
        <f aca="false">IFERROR(IF(A94="","",VLOOKUP(A94,Clientes!$A$3:$B$202,2,FALSE())),"")</f>
        <v/>
      </c>
    </row>
    <row r="95" customFormat="false" ht="15" hidden="false" customHeight="false" outlineLevel="0" collapsed="false">
      <c r="B95" s="0" t="str">
        <f aca="false">IFERROR(IF(A95="","",VLOOKUP(A95,Clientes!$A$3:$B$202,2,FALSE())),"")</f>
        <v/>
      </c>
    </row>
    <row r="96" customFormat="false" ht="15" hidden="false" customHeight="false" outlineLevel="0" collapsed="false">
      <c r="B96" s="0" t="str">
        <f aca="false">IFERROR(IF(A96="","",VLOOKUP(A96,Clientes!$A$3:$B$202,2,FALSE())),"")</f>
        <v/>
      </c>
    </row>
    <row r="97" customFormat="false" ht="15" hidden="false" customHeight="false" outlineLevel="0" collapsed="false">
      <c r="B97" s="0" t="str">
        <f aca="false">IFERROR(IF(A97="","",VLOOKUP(A97,Clientes!$A$3:$B$202,2,FALSE())),"")</f>
        <v/>
      </c>
    </row>
    <row r="98" customFormat="false" ht="15" hidden="false" customHeight="false" outlineLevel="0" collapsed="false">
      <c r="B98" s="0" t="str">
        <f aca="false">IFERROR(IF(A98="","",VLOOKUP(A98,Clientes!$A$3:$B$202,2,FALSE())),"")</f>
        <v/>
      </c>
    </row>
    <row r="99" customFormat="false" ht="15" hidden="false" customHeight="false" outlineLevel="0" collapsed="false">
      <c r="B99" s="0" t="str">
        <f aca="false">IFERROR(IF(A99="","",VLOOKUP(A99,Clientes!$A$3:$B$202,2,FALSE())),"")</f>
        <v/>
      </c>
    </row>
    <row r="100" customFormat="false" ht="15" hidden="false" customHeight="false" outlineLevel="0" collapsed="false">
      <c r="B100" s="0" t="str">
        <f aca="false">IFERROR(IF(A100="","",VLOOKUP(A100,Clientes!$A$3:$B$202,2,FALSE())),"")</f>
        <v/>
      </c>
    </row>
    <row r="101" customFormat="false" ht="15" hidden="false" customHeight="false" outlineLevel="0" collapsed="false">
      <c r="B101" s="0" t="str">
        <f aca="false">IFERROR(IF(A101="","",VLOOKUP(A101,Clientes!$A$3:$B$202,2,FALSE())),"")</f>
        <v/>
      </c>
    </row>
    <row r="102" customFormat="false" ht="15" hidden="false" customHeight="false" outlineLevel="0" collapsed="false">
      <c r="B102" s="0" t="str">
        <f aca="false">IFERROR(IF(A102="","",VLOOKUP(A102,Clientes!$A$3:$B$202,2,FALSE())),"")</f>
        <v/>
      </c>
    </row>
    <row r="103" customFormat="false" ht="15" hidden="false" customHeight="false" outlineLevel="0" collapsed="false">
      <c r="B103" s="0" t="str">
        <f aca="false">IFERROR(IF(A103="","",VLOOKUP(A103,Clientes!$A$3:$B$202,2,FALSE())),"")</f>
        <v/>
      </c>
    </row>
    <row r="104" customFormat="false" ht="15" hidden="false" customHeight="false" outlineLevel="0" collapsed="false">
      <c r="B104" s="0" t="str">
        <f aca="false">IFERROR(IF(A104="","",VLOOKUP(A104,Clientes!$A$3:$B$202,2,FALSE())),"")</f>
        <v/>
      </c>
    </row>
    <row r="105" customFormat="false" ht="15" hidden="false" customHeight="false" outlineLevel="0" collapsed="false">
      <c r="B105" s="0" t="str">
        <f aca="false">IFERROR(IF(A105="","",VLOOKUP(A105,Clientes!$A$3:$B$202,2,FALSE())),"")</f>
        <v/>
      </c>
    </row>
    <row r="106" customFormat="false" ht="15" hidden="false" customHeight="false" outlineLevel="0" collapsed="false">
      <c r="B106" s="0" t="str">
        <f aca="false">IFERROR(IF(A106="","",VLOOKUP(A106,Clientes!$A$3:$B$202,2,FALSE())),"")</f>
        <v/>
      </c>
    </row>
    <row r="107" customFormat="false" ht="15" hidden="false" customHeight="false" outlineLevel="0" collapsed="false">
      <c r="B107" s="0" t="str">
        <f aca="false">IFERROR(IF(A107="","",VLOOKUP(A107,Clientes!$A$3:$B$202,2,FALSE())),"")</f>
        <v/>
      </c>
    </row>
    <row r="108" customFormat="false" ht="15" hidden="false" customHeight="false" outlineLevel="0" collapsed="false">
      <c r="B108" s="0" t="str">
        <f aca="false">IFERROR(IF(A108="","",VLOOKUP(A108,Clientes!$A$3:$B$202,2,FALSE())),"")</f>
        <v/>
      </c>
    </row>
    <row r="109" customFormat="false" ht="15" hidden="false" customHeight="false" outlineLevel="0" collapsed="false">
      <c r="B109" s="0" t="str">
        <f aca="false">IFERROR(IF(A109="","",VLOOKUP(A109,Clientes!$A$3:$B$202,2,FALSE())),"")</f>
        <v/>
      </c>
    </row>
    <row r="110" customFormat="false" ht="15" hidden="false" customHeight="false" outlineLevel="0" collapsed="false">
      <c r="B110" s="0" t="str">
        <f aca="false">IFERROR(IF(A110="","",VLOOKUP(A110,Clientes!$A$3:$B$202,2,FALSE())),"")</f>
        <v/>
      </c>
    </row>
    <row r="111" customFormat="false" ht="15" hidden="false" customHeight="false" outlineLevel="0" collapsed="false">
      <c r="B111" s="0" t="str">
        <f aca="false">IFERROR(IF(A111="","",VLOOKUP(A111,Clientes!$A$3:$B$202,2,FALSE())),"")</f>
        <v/>
      </c>
    </row>
    <row r="112" customFormat="false" ht="15" hidden="false" customHeight="false" outlineLevel="0" collapsed="false">
      <c r="B112" s="0" t="str">
        <f aca="false">IFERROR(IF(A112="","",VLOOKUP(A112,Clientes!$A$3:$B$202,2,FALSE())),"")</f>
        <v/>
      </c>
    </row>
    <row r="113" customFormat="false" ht="15" hidden="false" customHeight="false" outlineLevel="0" collapsed="false">
      <c r="B113" s="0" t="str">
        <f aca="false">IFERROR(IF(A113="","",VLOOKUP(A113,Clientes!$A$3:$B$202,2,FALSE())),"")</f>
        <v/>
      </c>
    </row>
    <row r="114" customFormat="false" ht="15" hidden="false" customHeight="false" outlineLevel="0" collapsed="false">
      <c r="B114" s="0" t="str">
        <f aca="false">IFERROR(IF(A114="","",VLOOKUP(A114,Clientes!$A$3:$B$202,2,FALSE())),"")</f>
        <v/>
      </c>
    </row>
    <row r="115" customFormat="false" ht="15" hidden="false" customHeight="false" outlineLevel="0" collapsed="false">
      <c r="B115" s="0" t="str">
        <f aca="false">IFERROR(IF(A115="","",VLOOKUP(A115,Clientes!$A$3:$B$202,2,FALSE())),"")</f>
        <v/>
      </c>
    </row>
    <row r="116" customFormat="false" ht="15" hidden="false" customHeight="false" outlineLevel="0" collapsed="false">
      <c r="B116" s="0" t="str">
        <f aca="false">IFERROR(IF(A116="","",VLOOKUP(A116,Clientes!$A$3:$B$202,2,FALSE())),"")</f>
        <v/>
      </c>
    </row>
    <row r="117" customFormat="false" ht="15" hidden="false" customHeight="false" outlineLevel="0" collapsed="false">
      <c r="B117" s="0" t="str">
        <f aca="false">IFERROR(IF(A117="","",VLOOKUP(A117,Clientes!$A$3:$B$202,2,FALSE())),"")</f>
        <v/>
      </c>
    </row>
    <row r="118" customFormat="false" ht="15" hidden="false" customHeight="false" outlineLevel="0" collapsed="false">
      <c r="B118" s="0" t="str">
        <f aca="false">IFERROR(IF(A118="","",VLOOKUP(A118,Clientes!$A$3:$B$202,2,FALSE())),"")</f>
        <v/>
      </c>
    </row>
    <row r="119" customFormat="false" ht="15" hidden="false" customHeight="false" outlineLevel="0" collapsed="false">
      <c r="B119" s="0" t="str">
        <f aca="false">IFERROR(IF(A119="","",VLOOKUP(A119,Clientes!$A$3:$B$202,2,FALSE())),"")</f>
        <v/>
      </c>
    </row>
    <row r="120" customFormat="false" ht="15" hidden="false" customHeight="false" outlineLevel="0" collapsed="false">
      <c r="B120" s="0" t="str">
        <f aca="false">IFERROR(IF(A120="","",VLOOKUP(A120,Clientes!$A$3:$B$202,2,FALSE())),"")</f>
        <v/>
      </c>
    </row>
    <row r="121" customFormat="false" ht="15" hidden="false" customHeight="false" outlineLevel="0" collapsed="false">
      <c r="B121" s="0" t="str">
        <f aca="false">IFERROR(IF(A121="","",VLOOKUP(A121,Clientes!$A$3:$B$202,2,FALSE())),"")</f>
        <v/>
      </c>
    </row>
    <row r="122" customFormat="false" ht="15" hidden="false" customHeight="false" outlineLevel="0" collapsed="false">
      <c r="B122" s="0" t="str">
        <f aca="false">IFERROR(IF(A122="","",VLOOKUP(A122,Clientes!$A$3:$B$202,2,FALSE())),"")</f>
        <v/>
      </c>
    </row>
    <row r="123" customFormat="false" ht="15" hidden="false" customHeight="false" outlineLevel="0" collapsed="false">
      <c r="B123" s="0" t="str">
        <f aca="false">IFERROR(IF(A123="","",VLOOKUP(A123,Clientes!$A$3:$B$202,2,FALSE())),"")</f>
        <v/>
      </c>
    </row>
    <row r="124" customFormat="false" ht="15" hidden="false" customHeight="false" outlineLevel="0" collapsed="false">
      <c r="B124" s="0" t="str">
        <f aca="false">IFERROR(IF(A124="","",VLOOKUP(A124,Clientes!$A$3:$B$202,2,FALSE())),"")</f>
        <v/>
      </c>
    </row>
    <row r="125" customFormat="false" ht="15" hidden="false" customHeight="false" outlineLevel="0" collapsed="false">
      <c r="B125" s="0" t="str">
        <f aca="false">IFERROR(IF(A125="","",VLOOKUP(A125,Clientes!$A$3:$B$202,2,FALSE())),"")</f>
        <v/>
      </c>
    </row>
    <row r="126" customFormat="false" ht="15" hidden="false" customHeight="false" outlineLevel="0" collapsed="false">
      <c r="B126" s="0" t="str">
        <f aca="false">IFERROR(IF(A126="","",VLOOKUP(A126,Clientes!$A$3:$B$202,2,FALSE())),"")</f>
        <v/>
      </c>
    </row>
    <row r="127" customFormat="false" ht="15" hidden="false" customHeight="false" outlineLevel="0" collapsed="false">
      <c r="B127" s="0" t="str">
        <f aca="false">IFERROR(IF(A127="","",VLOOKUP(A127,Clientes!$A$3:$B$202,2,FALSE())),"")</f>
        <v/>
      </c>
    </row>
    <row r="128" customFormat="false" ht="15" hidden="false" customHeight="false" outlineLevel="0" collapsed="false">
      <c r="B128" s="0" t="str">
        <f aca="false">IFERROR(IF(A128="","",VLOOKUP(A128,Clientes!$A$3:$B$202,2,FALSE())),"")</f>
        <v/>
      </c>
    </row>
    <row r="129" customFormat="false" ht="15" hidden="false" customHeight="false" outlineLevel="0" collapsed="false">
      <c r="B129" s="0" t="str">
        <f aca="false">IFERROR(IF(A129="","",VLOOKUP(A129,Clientes!$A$3:$B$202,2,FALSE())),"")</f>
        <v/>
      </c>
    </row>
    <row r="130" customFormat="false" ht="15" hidden="false" customHeight="false" outlineLevel="0" collapsed="false">
      <c r="B130" s="0" t="str">
        <f aca="false">IFERROR(IF(A130="","",VLOOKUP(A130,Clientes!$A$3:$B$202,2,FALSE())),"")</f>
        <v/>
      </c>
    </row>
    <row r="131" customFormat="false" ht="15" hidden="false" customHeight="false" outlineLevel="0" collapsed="false">
      <c r="B131" s="0" t="str">
        <f aca="false">IFERROR(IF(A131="","",VLOOKUP(A131,Clientes!$A$3:$B$202,2,FALSE())),"")</f>
        <v/>
      </c>
    </row>
    <row r="132" customFormat="false" ht="15" hidden="false" customHeight="false" outlineLevel="0" collapsed="false">
      <c r="B132" s="0" t="str">
        <f aca="false">IFERROR(IF(A132="","",VLOOKUP(A132,Clientes!$A$3:$B$202,2,FALSE())),"")</f>
        <v/>
      </c>
    </row>
    <row r="133" customFormat="false" ht="15" hidden="false" customHeight="false" outlineLevel="0" collapsed="false">
      <c r="B133" s="0" t="str">
        <f aca="false">IFERROR(IF(A133="","",VLOOKUP(A133,Clientes!$A$3:$B$202,2,FALSE())),"")</f>
        <v/>
      </c>
    </row>
    <row r="134" customFormat="false" ht="15" hidden="false" customHeight="false" outlineLevel="0" collapsed="false">
      <c r="B134" s="0" t="str">
        <f aca="false">IFERROR(IF(A134="","",VLOOKUP(A134,Clientes!$A$3:$B$202,2,FALSE())),"")</f>
        <v/>
      </c>
    </row>
    <row r="135" customFormat="false" ht="15" hidden="false" customHeight="false" outlineLevel="0" collapsed="false">
      <c r="B135" s="0" t="str">
        <f aca="false">IFERROR(IF(A135="","",VLOOKUP(A135,Clientes!$A$3:$B$202,2,FALSE())),"")</f>
        <v/>
      </c>
    </row>
    <row r="136" customFormat="false" ht="15" hidden="false" customHeight="false" outlineLevel="0" collapsed="false">
      <c r="B136" s="0" t="str">
        <f aca="false">IFERROR(IF(A136="","",VLOOKUP(A136,Clientes!$A$3:$B$202,2,FALSE())),"")</f>
        <v/>
      </c>
    </row>
    <row r="137" customFormat="false" ht="15" hidden="false" customHeight="false" outlineLevel="0" collapsed="false">
      <c r="B137" s="0" t="str">
        <f aca="false">IFERROR(IF(A137="","",VLOOKUP(A137,Clientes!$A$3:$B$202,2,FALSE())),"")</f>
        <v/>
      </c>
    </row>
    <row r="138" customFormat="false" ht="15" hidden="false" customHeight="false" outlineLevel="0" collapsed="false">
      <c r="B138" s="0" t="str">
        <f aca="false">IFERROR(IF(A138="","",VLOOKUP(A138,Clientes!$A$3:$B$202,2,FALSE())),"")</f>
        <v/>
      </c>
    </row>
    <row r="139" customFormat="false" ht="15" hidden="false" customHeight="false" outlineLevel="0" collapsed="false">
      <c r="B139" s="0" t="str">
        <f aca="false">IFERROR(IF(A139="","",VLOOKUP(A139,Clientes!$A$3:$B$202,2,FALSE())),"")</f>
        <v/>
      </c>
    </row>
    <row r="140" customFormat="false" ht="15" hidden="false" customHeight="false" outlineLevel="0" collapsed="false">
      <c r="B140" s="0" t="str">
        <f aca="false">IFERROR(IF(A140="","",VLOOKUP(A140,Clientes!$A$3:$B$202,2,FALSE())),"")</f>
        <v/>
      </c>
    </row>
    <row r="141" customFormat="false" ht="15" hidden="false" customHeight="false" outlineLevel="0" collapsed="false">
      <c r="B141" s="0" t="str">
        <f aca="false">IFERROR(IF(A141="","",VLOOKUP(A141,Clientes!$A$3:$B$202,2,FALSE())),"")</f>
        <v/>
      </c>
    </row>
    <row r="142" customFormat="false" ht="15" hidden="false" customHeight="false" outlineLevel="0" collapsed="false">
      <c r="B142" s="0" t="str">
        <f aca="false">IFERROR(IF(A142="","",VLOOKUP(A142,Clientes!$A$3:$B$202,2,FALSE())),"")</f>
        <v/>
      </c>
    </row>
    <row r="143" customFormat="false" ht="15" hidden="false" customHeight="false" outlineLevel="0" collapsed="false">
      <c r="B143" s="0" t="str">
        <f aca="false">IFERROR(IF(A143="","",VLOOKUP(A143,Clientes!$A$3:$B$202,2,FALSE())),"")</f>
        <v/>
      </c>
    </row>
    <row r="144" customFormat="false" ht="15" hidden="false" customHeight="false" outlineLevel="0" collapsed="false">
      <c r="B144" s="0" t="str">
        <f aca="false">IFERROR(IF(A144="","",VLOOKUP(A144,Clientes!$A$3:$B$202,2,FALSE())),"")</f>
        <v/>
      </c>
    </row>
    <row r="145" customFormat="false" ht="15" hidden="false" customHeight="false" outlineLevel="0" collapsed="false">
      <c r="B145" s="0" t="str">
        <f aca="false">IFERROR(IF(A145="","",VLOOKUP(A145,Clientes!$A$3:$B$202,2,FALSE())),"")</f>
        <v/>
      </c>
    </row>
    <row r="146" customFormat="false" ht="15" hidden="false" customHeight="false" outlineLevel="0" collapsed="false">
      <c r="B146" s="0" t="str">
        <f aca="false">IFERROR(IF(A146="","",VLOOKUP(A146,Clientes!$A$3:$B$202,2,FALSE())),"")</f>
        <v/>
      </c>
    </row>
    <row r="147" customFormat="false" ht="15" hidden="false" customHeight="false" outlineLevel="0" collapsed="false">
      <c r="B147" s="0" t="str">
        <f aca="false">IFERROR(IF(A147="","",VLOOKUP(A147,Clientes!$A$3:$B$202,2,FALSE())),"")</f>
        <v/>
      </c>
    </row>
    <row r="148" customFormat="false" ht="15" hidden="false" customHeight="false" outlineLevel="0" collapsed="false">
      <c r="B148" s="0" t="str">
        <f aca="false">IFERROR(IF(A148="","",VLOOKUP(A148,Clientes!$A$3:$B$202,2,FALSE())),"")</f>
        <v/>
      </c>
    </row>
    <row r="149" customFormat="false" ht="15" hidden="false" customHeight="false" outlineLevel="0" collapsed="false">
      <c r="B149" s="0" t="str">
        <f aca="false">IFERROR(IF(A149="","",VLOOKUP(A149,Clientes!$A$3:$B$202,2,FALSE())),"")</f>
        <v/>
      </c>
    </row>
    <row r="150" customFormat="false" ht="15" hidden="false" customHeight="false" outlineLevel="0" collapsed="false">
      <c r="B150" s="0" t="str">
        <f aca="false">IFERROR(IF(A150="","",VLOOKUP(A150,Clientes!$A$3:$B$202,2,FALSE())),"")</f>
        <v/>
      </c>
    </row>
    <row r="151" customFormat="false" ht="15" hidden="false" customHeight="false" outlineLevel="0" collapsed="false">
      <c r="B151" s="0" t="str">
        <f aca="false">IFERROR(IF(A151="","",VLOOKUP(A151,Clientes!$A$3:$B$202,2,FALSE())),"")</f>
        <v/>
      </c>
    </row>
    <row r="152" customFormat="false" ht="15" hidden="false" customHeight="false" outlineLevel="0" collapsed="false">
      <c r="B152" s="0" t="str">
        <f aca="false">IFERROR(IF(A152="","",VLOOKUP(A152,Clientes!$A$3:$B$202,2,FALSE())),"")</f>
        <v/>
      </c>
    </row>
    <row r="153" customFormat="false" ht="15" hidden="false" customHeight="false" outlineLevel="0" collapsed="false">
      <c r="B153" s="0" t="str">
        <f aca="false">IFERROR(IF(A153="","",VLOOKUP(A153,Clientes!$A$3:$B$202,2,FALSE())),"")</f>
        <v/>
      </c>
    </row>
    <row r="154" customFormat="false" ht="15" hidden="false" customHeight="false" outlineLevel="0" collapsed="false">
      <c r="B154" s="0" t="str">
        <f aca="false">IFERROR(IF(A154="","",VLOOKUP(A154,Clientes!$A$3:$B$202,2,FALSE())),"")</f>
        <v/>
      </c>
    </row>
    <row r="155" customFormat="false" ht="15" hidden="false" customHeight="false" outlineLevel="0" collapsed="false">
      <c r="B155" s="0" t="str">
        <f aca="false">IFERROR(IF(A155="","",VLOOKUP(A155,Clientes!$A$3:$B$202,2,FALSE())),"")</f>
        <v/>
      </c>
    </row>
    <row r="156" customFormat="false" ht="15" hidden="false" customHeight="false" outlineLevel="0" collapsed="false">
      <c r="B156" s="0" t="str">
        <f aca="false">IFERROR(IF(A156="","",VLOOKUP(A156,Clientes!$A$3:$B$202,2,FALSE())),"")</f>
        <v/>
      </c>
    </row>
    <row r="157" customFormat="false" ht="15" hidden="false" customHeight="false" outlineLevel="0" collapsed="false">
      <c r="B157" s="0" t="str">
        <f aca="false">IFERROR(IF(A157="","",VLOOKUP(A157,Clientes!$A$3:$B$202,2,FALSE())),"")</f>
        <v/>
      </c>
    </row>
    <row r="158" customFormat="false" ht="15" hidden="false" customHeight="false" outlineLevel="0" collapsed="false">
      <c r="B158" s="0" t="str">
        <f aca="false">IFERROR(IF(A158="","",VLOOKUP(A158,Clientes!$A$3:$B$202,2,FALSE())),"")</f>
        <v/>
      </c>
    </row>
    <row r="159" customFormat="false" ht="15" hidden="false" customHeight="false" outlineLevel="0" collapsed="false">
      <c r="B159" s="0" t="str">
        <f aca="false">IFERROR(IF(A159="","",VLOOKUP(A159,Clientes!$A$3:$B$202,2,FALSE())),"")</f>
        <v/>
      </c>
    </row>
    <row r="160" customFormat="false" ht="15" hidden="false" customHeight="false" outlineLevel="0" collapsed="false">
      <c r="B160" s="0" t="str">
        <f aca="false">IFERROR(IF(A160="","",VLOOKUP(A160,Clientes!$A$3:$B$202,2,FALSE())),"")</f>
        <v/>
      </c>
    </row>
    <row r="161" customFormat="false" ht="15" hidden="false" customHeight="false" outlineLevel="0" collapsed="false">
      <c r="B161" s="0" t="str">
        <f aca="false">IFERROR(IF(A161="","",VLOOKUP(A161,Clientes!$A$3:$B$202,2,FALSE())),"")</f>
        <v/>
      </c>
    </row>
    <row r="162" customFormat="false" ht="15" hidden="false" customHeight="false" outlineLevel="0" collapsed="false">
      <c r="B162" s="0" t="str">
        <f aca="false">IFERROR(IF(A162="","",VLOOKUP(A162,Clientes!$A$3:$B$202,2,FALSE())),"")</f>
        <v/>
      </c>
    </row>
    <row r="163" customFormat="false" ht="15" hidden="false" customHeight="false" outlineLevel="0" collapsed="false">
      <c r="B163" s="0" t="str">
        <f aca="false">IFERROR(IF(A163="","",VLOOKUP(A163,Clientes!$A$3:$B$202,2,FALSE())),"")</f>
        <v/>
      </c>
    </row>
    <row r="164" customFormat="false" ht="15" hidden="false" customHeight="false" outlineLevel="0" collapsed="false">
      <c r="B164" s="0" t="str">
        <f aca="false">IFERROR(IF(A164="","",VLOOKUP(A164,Clientes!$A$3:$B$202,2,FALSE())),"")</f>
        <v/>
      </c>
    </row>
    <row r="165" customFormat="false" ht="15" hidden="false" customHeight="false" outlineLevel="0" collapsed="false">
      <c r="B165" s="0" t="str">
        <f aca="false">IFERROR(IF(A165="","",VLOOKUP(A165,Clientes!$A$3:$B$202,2,FALSE())),"")</f>
        <v/>
      </c>
    </row>
    <row r="166" customFormat="false" ht="15" hidden="false" customHeight="false" outlineLevel="0" collapsed="false">
      <c r="B166" s="0" t="str">
        <f aca="false">IFERROR(IF(A166="","",VLOOKUP(A166,Clientes!$A$3:$B$202,2,FALSE())),"")</f>
        <v/>
      </c>
    </row>
    <row r="167" customFormat="false" ht="15" hidden="false" customHeight="false" outlineLevel="0" collapsed="false">
      <c r="B167" s="0" t="str">
        <f aca="false">IFERROR(IF(A167="","",VLOOKUP(A167,Clientes!$A$3:$B$202,2,FALSE())),"")</f>
        <v/>
      </c>
    </row>
    <row r="168" customFormat="false" ht="15" hidden="false" customHeight="false" outlineLevel="0" collapsed="false">
      <c r="B168" s="0" t="str">
        <f aca="false">IFERROR(IF(A168="","",VLOOKUP(A168,Clientes!$A$3:$B$202,2,FALSE())),"")</f>
        <v/>
      </c>
    </row>
    <row r="169" customFormat="false" ht="15" hidden="false" customHeight="false" outlineLevel="0" collapsed="false">
      <c r="B169" s="0" t="str">
        <f aca="false">IFERROR(IF(A169="","",VLOOKUP(A169,Clientes!$A$3:$B$202,2,FALSE())),"")</f>
        <v/>
      </c>
    </row>
    <row r="170" customFormat="false" ht="15" hidden="false" customHeight="false" outlineLevel="0" collapsed="false">
      <c r="B170" s="0" t="str">
        <f aca="false">IFERROR(IF(A170="","",VLOOKUP(A170,Clientes!$A$3:$B$202,2,FALSE())),"")</f>
        <v/>
      </c>
    </row>
    <row r="171" customFormat="false" ht="15" hidden="false" customHeight="false" outlineLevel="0" collapsed="false">
      <c r="B171" s="0" t="str">
        <f aca="false">IFERROR(IF(A171="","",VLOOKUP(A171,Clientes!$A$3:$B$202,2,FALSE())),"")</f>
        <v/>
      </c>
    </row>
    <row r="172" customFormat="false" ht="15" hidden="false" customHeight="false" outlineLevel="0" collapsed="false">
      <c r="B172" s="0" t="str">
        <f aca="false">IFERROR(IF(A172="","",VLOOKUP(A172,Clientes!$A$3:$B$202,2,FALSE())),"")</f>
        <v/>
      </c>
    </row>
    <row r="173" customFormat="false" ht="15" hidden="false" customHeight="false" outlineLevel="0" collapsed="false">
      <c r="B173" s="0" t="str">
        <f aca="false">IFERROR(IF(A173="","",VLOOKUP(A173,Clientes!$A$3:$B$202,2,FALSE())),"")</f>
        <v/>
      </c>
    </row>
    <row r="174" customFormat="false" ht="15" hidden="false" customHeight="false" outlineLevel="0" collapsed="false">
      <c r="B174" s="0" t="str">
        <f aca="false">IFERROR(IF(A174="","",VLOOKUP(A174,Clientes!$A$3:$B$202,2,FALSE())),"")</f>
        <v/>
      </c>
    </row>
    <row r="175" customFormat="false" ht="15" hidden="false" customHeight="false" outlineLevel="0" collapsed="false">
      <c r="B175" s="0" t="str">
        <f aca="false">IFERROR(IF(A175="","",VLOOKUP(A175,Clientes!$A$3:$B$202,2,FALSE())),"")</f>
        <v/>
      </c>
    </row>
    <row r="176" customFormat="false" ht="15" hidden="false" customHeight="false" outlineLevel="0" collapsed="false">
      <c r="B176" s="0" t="str">
        <f aca="false">IFERROR(IF(A176="","",VLOOKUP(A176,Clientes!$A$3:$B$202,2,FALSE())),"")</f>
        <v/>
      </c>
    </row>
    <row r="177" customFormat="false" ht="15" hidden="false" customHeight="false" outlineLevel="0" collapsed="false">
      <c r="B177" s="0" t="str">
        <f aca="false">IFERROR(IF(A177="","",VLOOKUP(A177,Clientes!$A$3:$B$202,2,FALSE())),"")</f>
        <v/>
      </c>
    </row>
    <row r="178" customFormat="false" ht="15" hidden="false" customHeight="false" outlineLevel="0" collapsed="false">
      <c r="B178" s="0" t="str">
        <f aca="false">IFERROR(IF(A178="","",VLOOKUP(A178,Clientes!$A$3:$B$202,2,FALSE())),"")</f>
        <v/>
      </c>
    </row>
    <row r="179" customFormat="false" ht="15" hidden="false" customHeight="false" outlineLevel="0" collapsed="false">
      <c r="B179" s="0" t="str">
        <f aca="false">IFERROR(IF(A179="","",VLOOKUP(A179,Clientes!$A$3:$B$202,2,FALSE())),"")</f>
        <v/>
      </c>
    </row>
    <row r="180" customFormat="false" ht="15" hidden="false" customHeight="false" outlineLevel="0" collapsed="false">
      <c r="B180" s="0" t="str">
        <f aca="false">IFERROR(IF(A180="","",VLOOKUP(A180,Clientes!$A$3:$B$202,2,FALSE())),"")</f>
        <v/>
      </c>
    </row>
    <row r="181" customFormat="false" ht="15" hidden="false" customHeight="false" outlineLevel="0" collapsed="false">
      <c r="B181" s="0" t="str">
        <f aca="false">IFERROR(IF(A181="","",VLOOKUP(A181,Clientes!$A$3:$B$202,2,FALSE())),"")</f>
        <v/>
      </c>
    </row>
    <row r="182" customFormat="false" ht="15" hidden="false" customHeight="false" outlineLevel="0" collapsed="false">
      <c r="B182" s="0" t="str">
        <f aca="false">IFERROR(IF(A182="","",VLOOKUP(A182,Clientes!$A$3:$B$202,2,FALSE())),"")</f>
        <v/>
      </c>
    </row>
    <row r="183" customFormat="false" ht="15" hidden="false" customHeight="false" outlineLevel="0" collapsed="false">
      <c r="B183" s="0" t="str">
        <f aca="false">IFERROR(IF(A183="","",VLOOKUP(A183,Clientes!$A$3:$B$202,2,FALSE())),"")</f>
        <v/>
      </c>
    </row>
    <row r="184" customFormat="false" ht="15" hidden="false" customHeight="false" outlineLevel="0" collapsed="false">
      <c r="B184" s="0" t="str">
        <f aca="false">IFERROR(IF(A184="","",VLOOKUP(A184,Clientes!$A$3:$B$202,2,FALSE())),"")</f>
        <v/>
      </c>
    </row>
    <row r="185" customFormat="false" ht="15" hidden="false" customHeight="false" outlineLevel="0" collapsed="false">
      <c r="B185" s="0" t="str">
        <f aca="false">IFERROR(IF(A185="","",VLOOKUP(A185,Clientes!$A$3:$B$202,2,FALSE())),"")</f>
        <v/>
      </c>
    </row>
    <row r="186" customFormat="false" ht="15" hidden="false" customHeight="false" outlineLevel="0" collapsed="false">
      <c r="B186" s="0" t="str">
        <f aca="false">IFERROR(IF(A186="","",VLOOKUP(A186,Clientes!$A$3:$B$202,2,FALSE())),"")</f>
        <v/>
      </c>
    </row>
    <row r="187" customFormat="false" ht="15" hidden="false" customHeight="false" outlineLevel="0" collapsed="false">
      <c r="B187" s="0" t="str">
        <f aca="false">IFERROR(IF(A187="","",VLOOKUP(A187,Clientes!$A$3:$B$202,2,FALSE())),"")</f>
        <v/>
      </c>
    </row>
    <row r="188" customFormat="false" ht="15" hidden="false" customHeight="false" outlineLevel="0" collapsed="false">
      <c r="B188" s="0" t="str">
        <f aca="false">IFERROR(IF(A188="","",VLOOKUP(A188,Clientes!$A$3:$B$202,2,FALSE())),"")</f>
        <v/>
      </c>
    </row>
    <row r="189" customFormat="false" ht="15" hidden="false" customHeight="false" outlineLevel="0" collapsed="false">
      <c r="B189" s="0" t="str">
        <f aca="false">IFERROR(IF(A189="","",VLOOKUP(A189,Clientes!$A$3:$B$202,2,FALSE())),"")</f>
        <v/>
      </c>
    </row>
    <row r="190" customFormat="false" ht="15" hidden="false" customHeight="false" outlineLevel="0" collapsed="false">
      <c r="B190" s="0" t="str">
        <f aca="false">IFERROR(IF(A190="","",VLOOKUP(A190,Clientes!$A$3:$B$202,2,FALSE())),"")</f>
        <v/>
      </c>
    </row>
    <row r="191" customFormat="false" ht="15" hidden="false" customHeight="false" outlineLevel="0" collapsed="false">
      <c r="B191" s="0" t="str">
        <f aca="false">IFERROR(IF(A191="","",VLOOKUP(A191,Clientes!$A$3:$B$202,2,FALSE())),"")</f>
        <v/>
      </c>
    </row>
    <row r="192" customFormat="false" ht="15" hidden="false" customHeight="false" outlineLevel="0" collapsed="false">
      <c r="B192" s="0" t="str">
        <f aca="false">IFERROR(IF(A192="","",VLOOKUP(A192,Clientes!$A$3:$B$202,2,FALSE())),"")</f>
        <v/>
      </c>
    </row>
    <row r="193" customFormat="false" ht="15" hidden="false" customHeight="false" outlineLevel="0" collapsed="false">
      <c r="B193" s="0" t="str">
        <f aca="false">IFERROR(IF(A193="","",VLOOKUP(A193,Clientes!$A$3:$B$202,2,FALSE())),"")</f>
        <v/>
      </c>
    </row>
    <row r="194" customFormat="false" ht="15" hidden="false" customHeight="false" outlineLevel="0" collapsed="false">
      <c r="B194" s="0" t="str">
        <f aca="false">IFERROR(IF(A194="","",VLOOKUP(A194,Clientes!$A$3:$B$202,2,FALSE())),"")</f>
        <v/>
      </c>
    </row>
    <row r="195" customFormat="false" ht="15" hidden="false" customHeight="false" outlineLevel="0" collapsed="false">
      <c r="B195" s="0" t="str">
        <f aca="false">IFERROR(IF(A195="","",VLOOKUP(A195,Clientes!$A$3:$B$202,2,FALSE())),"")</f>
        <v/>
      </c>
    </row>
    <row r="196" customFormat="false" ht="15" hidden="false" customHeight="false" outlineLevel="0" collapsed="false">
      <c r="B196" s="0" t="str">
        <f aca="false">IFERROR(IF(A196="","",VLOOKUP(A196,Clientes!$A$3:$B$202,2,FALSE())),"")</f>
        <v/>
      </c>
    </row>
    <row r="197" customFormat="false" ht="15" hidden="false" customHeight="false" outlineLevel="0" collapsed="false">
      <c r="B197" s="0" t="str">
        <f aca="false">IFERROR(IF(A197="","",VLOOKUP(A197,Clientes!$A$3:$B$202,2,FALSE())),"")</f>
        <v/>
      </c>
    </row>
    <row r="198" customFormat="false" ht="15" hidden="false" customHeight="false" outlineLevel="0" collapsed="false">
      <c r="B198" s="0" t="str">
        <f aca="false">IFERROR(IF(A198="","",VLOOKUP(A198,Clientes!$A$3:$B$202,2,FALSE())),"")</f>
        <v/>
      </c>
    </row>
    <row r="199" customFormat="false" ht="15" hidden="false" customHeight="false" outlineLevel="0" collapsed="false">
      <c r="B199" s="0" t="str">
        <f aca="false">IFERROR(IF(A199="","",VLOOKUP(A199,Clientes!$A$3:$B$202,2,FALSE())),"")</f>
        <v/>
      </c>
    </row>
    <row r="200" customFormat="false" ht="15" hidden="false" customHeight="false" outlineLevel="0" collapsed="false">
      <c r="B200" s="0" t="str">
        <f aca="false">IFERROR(IF(A200="","",VLOOKUP(A200,Clientes!$A$3:$B$202,2,FALSE())),"")</f>
        <v/>
      </c>
    </row>
    <row r="201" customFormat="false" ht="15" hidden="false" customHeight="false" outlineLevel="0" collapsed="false">
      <c r="B201" s="0" t="str">
        <f aca="false">IFERROR(IF(A201="","",VLOOKUP(A201,Clientes!$A$3:$B$202,2,FALSE())),"")</f>
        <v/>
      </c>
    </row>
    <row r="202" customFormat="false" ht="15" hidden="false" customHeight="false" outlineLevel="0" collapsed="false">
      <c r="B202" s="0" t="str">
        <f aca="false">IFERROR(IF(A202="","",VLOOKUP(A202,Clientes!$A$3:$B$202,2,FALSE())),"")</f>
        <v/>
      </c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E3:E202" type="list">
      <formula1>"Producción,Pruebas"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542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true" outlineLevel="0" collapsed="false">
      <c r="A3" s="6" t="s">
        <v>543</v>
      </c>
      <c r="B3" s="6"/>
      <c r="C3" s="6"/>
      <c r="D3" s="6"/>
      <c r="E3" s="6"/>
      <c r="F3" s="6"/>
      <c r="G3" s="6"/>
      <c r="H3" s="6"/>
      <c r="I3" s="6"/>
    </row>
    <row r="4" customFormat="false" ht="15" hidden="false" customHeight="true" outlineLevel="0" collapsed="false">
      <c r="A4" s="7" t="s">
        <v>544</v>
      </c>
      <c r="B4" s="8" t="s">
        <v>180</v>
      </c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7" t="s">
        <v>545</v>
      </c>
      <c r="B5" s="8" t="s">
        <v>546</v>
      </c>
      <c r="C5" s="8"/>
      <c r="D5" s="8"/>
      <c r="E5" s="8"/>
      <c r="F5" s="8"/>
      <c r="G5" s="8"/>
      <c r="H5" s="8"/>
      <c r="I5" s="8"/>
    </row>
    <row r="6" customFormat="false" ht="15" hidden="false" customHeight="true" outlineLevel="0" collapsed="false">
      <c r="A6" s="7" t="s">
        <v>211</v>
      </c>
      <c r="B6" s="8" t="s">
        <v>547</v>
      </c>
      <c r="C6" s="8"/>
      <c r="D6" s="8"/>
      <c r="E6" s="8"/>
      <c r="F6" s="8"/>
      <c r="G6" s="8"/>
      <c r="H6" s="8"/>
      <c r="I6" s="8"/>
    </row>
    <row r="7" customFormat="false" ht="15" hidden="false" customHeight="true" outlineLevel="0" collapsed="false">
      <c r="A7" s="7" t="s">
        <v>548</v>
      </c>
      <c r="B7" s="8" t="s">
        <v>549</v>
      </c>
      <c r="C7" s="8"/>
      <c r="D7" s="8"/>
      <c r="E7" s="8"/>
      <c r="F7" s="8"/>
      <c r="G7" s="8"/>
      <c r="H7" s="8"/>
      <c r="I7" s="8"/>
    </row>
    <row r="8" customFormat="false" ht="15" hidden="false" customHeight="true" outlineLevel="0" collapsed="false">
      <c r="A8" s="7" t="s">
        <v>550</v>
      </c>
      <c r="B8" s="8" t="s">
        <v>551</v>
      </c>
      <c r="C8" s="8"/>
      <c r="D8" s="8"/>
      <c r="E8" s="8"/>
      <c r="F8" s="8"/>
      <c r="G8" s="8"/>
      <c r="H8" s="8"/>
      <c r="I8" s="8"/>
    </row>
    <row r="9" customFormat="false" ht="15" hidden="false" customHeight="true" outlineLevel="0" collapsed="false">
      <c r="A9" s="7" t="s">
        <v>552</v>
      </c>
      <c r="B9" s="8" t="s">
        <v>553</v>
      </c>
      <c r="C9" s="8"/>
      <c r="D9" s="8"/>
      <c r="E9" s="8"/>
      <c r="F9" s="8"/>
      <c r="G9" s="8"/>
      <c r="H9" s="8"/>
      <c r="I9" s="8"/>
    </row>
    <row r="10" customFormat="false" ht="15" hidden="false" customHeight="true" outlineLevel="0" collapsed="false">
      <c r="A10" s="7" t="s">
        <v>554</v>
      </c>
      <c r="B10" s="8" t="s">
        <v>555</v>
      </c>
      <c r="C10" s="8"/>
      <c r="D10" s="8"/>
      <c r="E10" s="8"/>
      <c r="F10" s="8"/>
      <c r="G10" s="8"/>
      <c r="H10" s="8"/>
      <c r="I10" s="8"/>
    </row>
    <row r="12" customFormat="false" ht="15" hidden="false" customHeight="true" outlineLevel="0" collapsed="false">
      <c r="A12" s="6" t="s">
        <v>556</v>
      </c>
      <c r="B12" s="6"/>
      <c r="C12" s="6"/>
      <c r="D12" s="6"/>
      <c r="E12" s="6"/>
      <c r="F12" s="6"/>
      <c r="G12" s="6"/>
      <c r="H12" s="6"/>
      <c r="I12" s="6"/>
    </row>
    <row r="13" customFormat="false" ht="27.75" hidden="false" customHeight="true" outlineLevel="0" collapsed="false">
      <c r="A13" s="4" t="s">
        <v>12</v>
      </c>
      <c r="B13" s="4" t="s">
        <v>206</v>
      </c>
      <c r="C13" s="4" t="s">
        <v>557</v>
      </c>
      <c r="D13" s="4" t="s">
        <v>15</v>
      </c>
      <c r="E13" s="4" t="s">
        <v>503</v>
      </c>
      <c r="F13" s="4" t="s">
        <v>16</v>
      </c>
      <c r="G13" s="4" t="s">
        <v>17</v>
      </c>
      <c r="H13" s="4" t="s">
        <v>18</v>
      </c>
      <c r="I13" s="4" t="s">
        <v>23</v>
      </c>
    </row>
    <row r="14" customFormat="false" ht="20.85" hidden="false" customHeight="false" outlineLevel="0" collapsed="false">
      <c r="A14" s="5" t="s">
        <v>173</v>
      </c>
      <c r="B14" s="5" t="str">
        <f aca="false">IFERROR(IF(A14="","",VLOOKUP(A14,Clientes!$A$3:$B$202,2,FALSE())),"")</f>
        <v>TEZONTEPEC</v>
      </c>
      <c r="C14" s="5" t="s">
        <v>175</v>
      </c>
      <c r="D14" s="5" t="s">
        <v>176</v>
      </c>
      <c r="E14" s="5" t="s">
        <v>558</v>
      </c>
      <c r="F14" s="5" t="s">
        <v>177</v>
      </c>
      <c r="G14" s="5"/>
      <c r="H14" s="5" t="s">
        <v>178</v>
      </c>
      <c r="I14" s="5" t="s">
        <v>35</v>
      </c>
    </row>
    <row r="15" customFormat="false" ht="20.85" hidden="false" customHeight="false" outlineLevel="0" collapsed="false">
      <c r="A15" s="5" t="s">
        <v>134</v>
      </c>
      <c r="B15" s="5" t="str">
        <f aca="false">IFERROR(IF(A15="","",VLOOKUP(A15,Clientes!$A$3:$B$202,2,FALSE())),"")</f>
        <v>HUEJUTLA</v>
      </c>
      <c r="C15" s="5" t="s">
        <v>136</v>
      </c>
      <c r="D15" s="5" t="s">
        <v>137</v>
      </c>
      <c r="E15" s="5" t="s">
        <v>559</v>
      </c>
      <c r="F15" s="5" t="s">
        <v>560</v>
      </c>
      <c r="G15" s="5" t="s">
        <v>139</v>
      </c>
      <c r="H15" s="5" t="s">
        <v>140</v>
      </c>
      <c r="I15" s="5" t="s">
        <v>35</v>
      </c>
    </row>
    <row r="16" customFormat="false" ht="15" hidden="false" customHeight="false" outlineLevel="0" collapsed="false">
      <c r="A16" s="5" t="s">
        <v>36</v>
      </c>
      <c r="B16" s="5" t="str">
        <f aca="false">IFERROR(IF(A16="","",VLOOKUP(A16,Clientes!$A$3:$B$202,2,FALSE())),"")</f>
        <v>ACTOPAN AGUA</v>
      </c>
      <c r="C16" s="5" t="s">
        <v>38</v>
      </c>
      <c r="D16" s="5" t="s">
        <v>39</v>
      </c>
      <c r="E16" s="5" t="s">
        <v>561</v>
      </c>
      <c r="F16" s="5" t="s">
        <v>40</v>
      </c>
      <c r="G16" s="5" t="s">
        <v>562</v>
      </c>
      <c r="H16" s="5" t="s">
        <v>42</v>
      </c>
      <c r="I16" s="5" t="s">
        <v>35</v>
      </c>
    </row>
    <row r="17" customFormat="false" ht="30.55" hidden="false" customHeight="false" outlineLevel="0" collapsed="false">
      <c r="A17" s="5" t="s">
        <v>160</v>
      </c>
      <c r="B17" s="5" t="str">
        <f aca="false">IFERROR(IF(A17="","",VLOOKUP(A17,Clientes!$A$3:$B$202,2,FALSE())),"")</f>
        <v>PROGRESO</v>
      </c>
      <c r="C17" s="5" t="s">
        <v>563</v>
      </c>
      <c r="D17" s="5" t="s">
        <v>163</v>
      </c>
      <c r="E17" s="5" t="s">
        <v>564</v>
      </c>
      <c r="F17" s="5" t="s">
        <v>565</v>
      </c>
      <c r="G17" s="5" t="s">
        <v>566</v>
      </c>
      <c r="H17" s="5" t="s">
        <v>166</v>
      </c>
      <c r="I17" s="5" t="s">
        <v>35</v>
      </c>
    </row>
    <row r="18" customFormat="false" ht="20.85" hidden="false" customHeight="false" outlineLevel="0" collapsed="false">
      <c r="A18" s="5" t="s">
        <v>125</v>
      </c>
      <c r="B18" s="5" t="str">
        <f aca="false">IFERROR(IF(A18="","",VLOOKUP(A18,Clientes!$A$3:$B$202,2,FALSE())),"")</f>
        <v>HUASCA</v>
      </c>
      <c r="C18" s="5" t="s">
        <v>127</v>
      </c>
      <c r="D18" s="5" t="s">
        <v>128</v>
      </c>
      <c r="E18" s="5" t="s">
        <v>567</v>
      </c>
      <c r="F18" s="5" t="s">
        <v>568</v>
      </c>
      <c r="G18" s="5" t="s">
        <v>569</v>
      </c>
      <c r="H18" s="5" t="s">
        <v>131</v>
      </c>
      <c r="I18" s="5" t="s">
        <v>35</v>
      </c>
    </row>
    <row r="19" customFormat="false" ht="20.85" hidden="false" customHeight="false" outlineLevel="0" collapsed="false">
      <c r="A19" s="5" t="s">
        <v>85</v>
      </c>
      <c r="B19" s="5" t="str">
        <f aca="false">IFERROR(IF(A19="","",VLOOKUP(A19,Clientes!$A$3:$B$202,2,FALSE())),"")</f>
        <v>CUAUTEPEC AGUA</v>
      </c>
      <c r="C19" s="5" t="s">
        <v>87</v>
      </c>
      <c r="D19" s="5" t="s">
        <v>88</v>
      </c>
      <c r="E19" s="5" t="s">
        <v>570</v>
      </c>
      <c r="F19" s="5" t="s">
        <v>89</v>
      </c>
      <c r="G19" s="5" t="s">
        <v>571</v>
      </c>
      <c r="H19" s="5" t="s">
        <v>91</v>
      </c>
      <c r="I19" s="5" t="s">
        <v>35</v>
      </c>
    </row>
    <row r="20" customFormat="false" ht="20.85" hidden="false" customHeight="false" outlineLevel="0" collapsed="false">
      <c r="A20" s="5" t="s">
        <v>143</v>
      </c>
      <c r="B20" s="5" t="str">
        <f aca="false">IFERROR(IF(A20="","",VLOOKUP(A20,Clientes!$A$3:$B$202,2,FALSE())),"")</f>
        <v>MIXQUIAHUALA</v>
      </c>
      <c r="C20" s="5" t="s">
        <v>145</v>
      </c>
      <c r="D20" s="5" t="s">
        <v>146</v>
      </c>
      <c r="E20" s="5" t="s">
        <v>572</v>
      </c>
      <c r="F20" s="5" t="s">
        <v>147</v>
      </c>
      <c r="G20" s="5" t="s">
        <v>573</v>
      </c>
      <c r="H20" s="5" t="s">
        <v>149</v>
      </c>
      <c r="I20" s="5" t="s">
        <v>35</v>
      </c>
    </row>
    <row r="21" customFormat="false" ht="20.85" hidden="false" customHeight="false" outlineLevel="0" collapsed="false">
      <c r="A21" s="5" t="s">
        <v>167</v>
      </c>
      <c r="B21" s="5" t="str">
        <f aca="false">IFERROR(IF(A21="","",VLOOKUP(A21,Clientes!$A$3:$B$202,2,FALSE())),"")</f>
        <v>TECOZAUTLA</v>
      </c>
      <c r="C21" s="5" t="s">
        <v>169</v>
      </c>
      <c r="D21" s="5" t="s">
        <v>170</v>
      </c>
      <c r="E21" s="5" t="s">
        <v>574</v>
      </c>
      <c r="F21" s="5" t="s">
        <v>575</v>
      </c>
      <c r="G21" s="5" t="s">
        <v>576</v>
      </c>
      <c r="H21" s="5" t="s">
        <v>172</v>
      </c>
      <c r="I21" s="5" t="s">
        <v>35</v>
      </c>
    </row>
    <row r="22" customFormat="false" ht="30.55" hidden="false" customHeight="false" outlineLevel="0" collapsed="false">
      <c r="A22" s="5" t="s">
        <v>68</v>
      </c>
      <c r="B22" s="5" t="str">
        <f aca="false">IFERROR(IF(A22="","",VLOOKUP(A22,Clientes!$A$3:$B$202,2,FALSE())),"")</f>
        <v>ARENAL</v>
      </c>
      <c r="C22" s="5" t="s">
        <v>70</v>
      </c>
      <c r="D22" s="5" t="s">
        <v>71</v>
      </c>
      <c r="E22" s="5" t="s">
        <v>577</v>
      </c>
      <c r="F22" s="5" t="s">
        <v>578</v>
      </c>
      <c r="G22" s="5"/>
      <c r="H22" s="5" t="s">
        <v>73</v>
      </c>
      <c r="I22" s="5" t="s">
        <v>35</v>
      </c>
    </row>
    <row r="23" customFormat="false" ht="20.85" hidden="false" customHeight="false" outlineLevel="0" collapsed="false">
      <c r="A23" s="5" t="s">
        <v>50</v>
      </c>
      <c r="B23" s="5" t="str">
        <f aca="false">IFERROR(IF(A23="","",VLOOKUP(A23,Clientes!$A$3:$B$202,2,FALSE())),"")</f>
        <v>AJACUBA</v>
      </c>
      <c r="C23" s="5" t="s">
        <v>52</v>
      </c>
      <c r="D23" s="5" t="s">
        <v>53</v>
      </c>
      <c r="E23" s="5" t="s">
        <v>579</v>
      </c>
      <c r="F23" s="5" t="s">
        <v>54</v>
      </c>
      <c r="G23" s="5" t="s">
        <v>580</v>
      </c>
      <c r="H23" s="5" t="s">
        <v>56</v>
      </c>
      <c r="I23" s="5" t="s">
        <v>35</v>
      </c>
    </row>
    <row r="24" customFormat="false" ht="15" hidden="false" customHeight="false" outlineLevel="0" collapsed="false">
      <c r="A24" s="5" t="s">
        <v>25</v>
      </c>
      <c r="B24" s="5" t="str">
        <f aca="false">IFERROR(IF(A24="","",VLOOKUP(A24,Clientes!$A$3:$B$202,2,FALSE())),"")</f>
        <v>ACAXOCHITLAN</v>
      </c>
      <c r="C24" s="5" t="s">
        <v>27</v>
      </c>
      <c r="D24" s="5" t="s">
        <v>28</v>
      </c>
      <c r="E24" s="5" t="s">
        <v>581</v>
      </c>
      <c r="F24" s="5" t="s">
        <v>29</v>
      </c>
      <c r="G24" s="5" t="s">
        <v>30</v>
      </c>
      <c r="H24" s="5" t="s">
        <v>31</v>
      </c>
      <c r="I24" s="5" t="s">
        <v>35</v>
      </c>
    </row>
    <row r="25" customFormat="false" ht="15" hidden="false" customHeight="false" outlineLevel="0" collapsed="false">
      <c r="A25" s="5" t="s">
        <v>43</v>
      </c>
      <c r="B25" s="5" t="str">
        <f aca="false">IFERROR(IF(A25="","",VLOOKUP(A25,Clientes!$A$3:$B$202,2,FALSE())),"")</f>
        <v>ACTOPAN PRESIDENCIA</v>
      </c>
      <c r="C25" s="5" t="s">
        <v>45</v>
      </c>
      <c r="D25" s="5" t="s">
        <v>46</v>
      </c>
      <c r="E25" s="5" t="s">
        <v>582</v>
      </c>
      <c r="F25" s="5" t="s">
        <v>583</v>
      </c>
      <c r="G25" s="5"/>
      <c r="H25" s="5" t="s">
        <v>48</v>
      </c>
      <c r="I25" s="5" t="s">
        <v>35</v>
      </c>
    </row>
    <row r="26" customFormat="false" ht="15" hidden="false" customHeight="false" outlineLevel="0" collapsed="false">
      <c r="A26" s="5" t="s">
        <v>100</v>
      </c>
      <c r="B26" s="5" t="str">
        <f aca="false">IFERROR(IF(A26="","",VLOOKUP(A26,Clientes!$A$3:$B$202,2,FALSE())),"")</f>
        <v>CUAUTEPEC PRESIDENCIA</v>
      </c>
      <c r="C26" s="5" t="s">
        <v>102</v>
      </c>
      <c r="D26" s="5" t="s">
        <v>103</v>
      </c>
      <c r="E26" s="5" t="s">
        <v>584</v>
      </c>
      <c r="F26" s="5" t="s">
        <v>585</v>
      </c>
      <c r="G26" s="5" t="s">
        <v>586</v>
      </c>
      <c r="H26" s="5" t="s">
        <v>106</v>
      </c>
      <c r="I26" s="5" t="s">
        <v>35</v>
      </c>
    </row>
    <row r="27" customFormat="false" ht="20.85" hidden="false" customHeight="false" outlineLevel="0" collapsed="false">
      <c r="A27" s="5" t="s">
        <v>94</v>
      </c>
      <c r="B27" s="5" t="str">
        <f aca="false">IFERROR(IF(A27="","",VLOOKUP(A27,Clientes!$A$3:$B$202,2,FALSE())),"")</f>
        <v>CUAUTEPEC ASERRADERO</v>
      </c>
      <c r="C27" s="5" t="s">
        <v>96</v>
      </c>
      <c r="D27" s="5" t="s">
        <v>97</v>
      </c>
      <c r="E27" s="5" t="s">
        <v>587</v>
      </c>
      <c r="F27" s="5" t="s">
        <v>588</v>
      </c>
      <c r="G27" s="5"/>
      <c r="H27" s="5" t="s">
        <v>99</v>
      </c>
      <c r="I27" s="5" t="s">
        <v>35</v>
      </c>
    </row>
    <row r="28" customFormat="false" ht="30.55" hidden="false" customHeight="false" outlineLevel="0" collapsed="false">
      <c r="A28" s="5" t="s">
        <v>150</v>
      </c>
      <c r="B28" s="5" t="str">
        <f aca="false">IFERROR(IF(A28="","",VLOOKUP(A28,Clientes!$A$3:$B$202,2,FALSE())),"")</f>
        <v>MULEGE (BC)</v>
      </c>
      <c r="C28" s="5" t="s">
        <v>152</v>
      </c>
      <c r="D28" s="5" t="s">
        <v>153</v>
      </c>
      <c r="E28" s="5" t="s">
        <v>589</v>
      </c>
      <c r="F28" s="5" t="s">
        <v>590</v>
      </c>
      <c r="G28" s="5" t="s">
        <v>576</v>
      </c>
      <c r="H28" s="5" t="s">
        <v>156</v>
      </c>
      <c r="I28" s="5" t="s">
        <v>35</v>
      </c>
    </row>
    <row r="29" customFormat="false" ht="15" hidden="false" customHeight="false" outlineLevel="0" collapsed="false">
      <c r="A29" s="5" t="s">
        <v>179</v>
      </c>
      <c r="B29" s="5" t="str">
        <f aca="false">IFERROR(IF(A29="","",VLOOKUP(A29,Clientes!$A$3:$B$202,2,FALSE())),"")</f>
        <v>VIGMA CONSULTORES</v>
      </c>
      <c r="C29" s="5" t="s">
        <v>181</v>
      </c>
      <c r="D29" s="5" t="s">
        <v>182</v>
      </c>
      <c r="E29" s="5" t="s">
        <v>591</v>
      </c>
      <c r="F29" s="5" t="s">
        <v>592</v>
      </c>
      <c r="G29" s="5" t="s">
        <v>593</v>
      </c>
      <c r="H29" s="5" t="s">
        <v>185</v>
      </c>
      <c r="I29" s="5" t="s">
        <v>35</v>
      </c>
    </row>
    <row r="30" customFormat="false" ht="15" hidden="false" customHeight="false" outlineLevel="0" collapsed="false">
      <c r="A30" s="5" t="s">
        <v>189</v>
      </c>
      <c r="B30" s="5" t="str">
        <f aca="false">IFERROR(IF(A30="","",VLOOKUP(A30,Clientes!$A$3:$B$202,2,FALSE())),"")</f>
        <v>ZURICH ETIQUETAS</v>
      </c>
      <c r="C30" s="5" t="s">
        <v>191</v>
      </c>
      <c r="D30" s="5" t="s">
        <v>192</v>
      </c>
      <c r="E30" s="5" t="s">
        <v>594</v>
      </c>
      <c r="F30" s="5" t="s">
        <v>191</v>
      </c>
      <c r="G30" s="5" t="s">
        <v>595</v>
      </c>
      <c r="H30" s="5" t="s">
        <v>195</v>
      </c>
      <c r="I30" s="5" t="s">
        <v>35</v>
      </c>
    </row>
    <row r="31" customFormat="false" ht="15" hidden="false" customHeight="false" outlineLevel="0" collapsed="false">
      <c r="A31" s="5" t="s">
        <v>76</v>
      </c>
      <c r="B31" s="5" t="str">
        <f aca="false">IFERROR(IF(A31="","",VLOOKUP(A31,Clientes!$A$3:$B$202,2,FALSE())),"")</f>
        <v>CLASS LABELS</v>
      </c>
      <c r="C31" s="5" t="s">
        <v>78</v>
      </c>
      <c r="D31" s="5" t="s">
        <v>79</v>
      </c>
      <c r="E31" s="5" t="s">
        <v>596</v>
      </c>
      <c r="F31" s="5" t="s">
        <v>78</v>
      </c>
      <c r="G31" s="5" t="s">
        <v>597</v>
      </c>
      <c r="H31" s="5" t="s">
        <v>82</v>
      </c>
      <c r="I31" s="5" t="s">
        <v>35</v>
      </c>
    </row>
    <row r="32" customFormat="false" ht="15" hidden="false" customHeight="false" outlineLevel="0" collapsed="false">
      <c r="A32" s="5" t="s">
        <v>108</v>
      </c>
      <c r="B32" s="5" t="str">
        <f aca="false">IFERROR(IF(A32="","",VLOOKUP(A32,Clientes!$A$3:$B$202,2,FALSE())),"")</f>
        <v>GARIN ETIQUETAS</v>
      </c>
      <c r="C32" s="5" t="s">
        <v>109</v>
      </c>
      <c r="D32" s="5" t="s">
        <v>110</v>
      </c>
      <c r="E32" s="5" t="s">
        <v>598</v>
      </c>
      <c r="F32" s="5" t="s">
        <v>599</v>
      </c>
      <c r="G32" s="5" t="s">
        <v>600</v>
      </c>
      <c r="H32" s="5" t="s">
        <v>113</v>
      </c>
      <c r="I32" s="5" t="s">
        <v>35</v>
      </c>
    </row>
    <row r="33" customFormat="false" ht="15" hidden="false" customHeight="false" outlineLevel="0" collapsed="false">
      <c r="A33" s="5" t="s">
        <v>116</v>
      </c>
      <c r="B33" s="5" t="str">
        <f aca="false">IFERROR(IF(A33="","",VLOOKUP(A33,Clientes!$A$3:$B$202,2,FALSE())),"")</f>
        <v>HSD RFID</v>
      </c>
      <c r="C33" s="5" t="s">
        <v>118</v>
      </c>
      <c r="D33" s="5" t="s">
        <v>119</v>
      </c>
      <c r="E33" s="5" t="s">
        <v>601</v>
      </c>
      <c r="F33" s="5" t="s">
        <v>118</v>
      </c>
      <c r="G33" s="5" t="s">
        <v>602</v>
      </c>
      <c r="H33" s="5" t="s">
        <v>122</v>
      </c>
      <c r="I33" s="5" t="s">
        <v>35</v>
      </c>
    </row>
    <row r="34" customFormat="false" ht="15" hidden="false" customHeight="false" outlineLevel="0" collapsed="false">
      <c r="A34" s="5" t="s">
        <v>57</v>
      </c>
      <c r="B34" s="5" t="str">
        <f aca="false">IFERROR(IF(A34="","",VLOOKUP(A34,Clientes!$A$3:$B$202,2,FALSE())),"")</f>
        <v>ARC</v>
      </c>
      <c r="C34" s="5" t="s">
        <v>59</v>
      </c>
      <c r="D34" s="5" t="s">
        <v>60</v>
      </c>
      <c r="E34" s="5" t="s">
        <v>603</v>
      </c>
      <c r="F34" s="5" t="s">
        <v>59</v>
      </c>
      <c r="G34" s="5" t="s">
        <v>62</v>
      </c>
      <c r="H34" s="5" t="s">
        <v>63</v>
      </c>
      <c r="I34" s="5" t="s">
        <v>35</v>
      </c>
    </row>
    <row r="35" customFormat="false" ht="15" hidden="false" customHeight="false" outlineLevel="0" collapsed="false">
      <c r="B35" s="0" t="str">
        <f aca="false">IFERROR(IF(A35="","",VLOOKUP(A35,Clientes!$A$3:$B$202,2,FALSE())),"")</f>
        <v/>
      </c>
    </row>
    <row r="36" customFormat="false" ht="15" hidden="false" customHeight="false" outlineLevel="0" collapsed="false">
      <c r="B36" s="0" t="str">
        <f aca="false">IFERROR(IF(A36="","",VLOOKUP(A36,Clientes!$A$3:$B$202,2,FALSE())),"")</f>
        <v/>
      </c>
    </row>
    <row r="37" customFormat="false" ht="15" hidden="false" customHeight="false" outlineLevel="0" collapsed="false">
      <c r="B37" s="0" t="str">
        <f aca="false">IFERROR(IF(A37="","",VLOOKUP(A37,Clientes!$A$3:$B$202,2,FALSE())),"")</f>
        <v/>
      </c>
    </row>
    <row r="38" customFormat="false" ht="15" hidden="false" customHeight="false" outlineLevel="0" collapsed="false">
      <c r="B38" s="0" t="str">
        <f aca="false">IFERROR(IF(A38="","",VLOOKUP(A38,Clientes!$A$3:$B$202,2,FALSE())),"")</f>
        <v/>
      </c>
    </row>
    <row r="39" customFormat="false" ht="15" hidden="false" customHeight="false" outlineLevel="0" collapsed="false">
      <c r="B39" s="0" t="str">
        <f aca="false">IFERROR(IF(A39="","",VLOOKUP(A39,Clientes!$A$3:$B$202,2,FALSE())),"")</f>
        <v/>
      </c>
    </row>
    <row r="40" customFormat="false" ht="15" hidden="false" customHeight="false" outlineLevel="0" collapsed="false">
      <c r="B40" s="0" t="str">
        <f aca="false">IFERROR(IF(A40="","",VLOOKUP(A40,Clientes!$A$3:$B$202,2,FALSE())),"")</f>
        <v/>
      </c>
    </row>
    <row r="41" customFormat="false" ht="15" hidden="false" customHeight="false" outlineLevel="0" collapsed="false">
      <c r="B41" s="0" t="str">
        <f aca="false">IFERROR(IF(A41="","",VLOOKUP(A41,Clientes!$A$3:$B$202,2,FALSE())),"")</f>
        <v/>
      </c>
    </row>
    <row r="42" customFormat="false" ht="15" hidden="false" customHeight="false" outlineLevel="0" collapsed="false">
      <c r="B42" s="0" t="str">
        <f aca="false">IFERROR(IF(A42="","",VLOOKUP(A42,Clientes!$A$3:$B$202,2,FALSE())),"")</f>
        <v/>
      </c>
    </row>
    <row r="43" customFormat="false" ht="15" hidden="false" customHeight="false" outlineLevel="0" collapsed="false">
      <c r="B43" s="0" t="str">
        <f aca="false">IFERROR(IF(A43="","",VLOOKUP(A43,Clientes!$A$3:$B$202,2,FALSE())),"")</f>
        <v/>
      </c>
    </row>
    <row r="44" customFormat="false" ht="15" hidden="false" customHeight="false" outlineLevel="0" collapsed="false">
      <c r="B44" s="0" t="str">
        <f aca="false">IFERROR(IF(A44="","",VLOOKUP(A44,Clientes!$A$3:$B$202,2,FALSE())),"")</f>
        <v/>
      </c>
    </row>
    <row r="45" customFormat="false" ht="15" hidden="false" customHeight="false" outlineLevel="0" collapsed="false">
      <c r="B45" s="0" t="str">
        <f aca="false">IFERROR(IF(A45="","",VLOOKUP(A45,Clientes!$A$3:$B$202,2,FALSE())),"")</f>
        <v/>
      </c>
    </row>
    <row r="46" customFormat="false" ht="15" hidden="false" customHeight="false" outlineLevel="0" collapsed="false">
      <c r="B46" s="0" t="str">
        <f aca="false">IFERROR(IF(A46="","",VLOOKUP(A46,Clientes!$A$3:$B$202,2,FALSE())),"")</f>
        <v/>
      </c>
    </row>
    <row r="47" customFormat="false" ht="15" hidden="false" customHeight="false" outlineLevel="0" collapsed="false">
      <c r="B47" s="0" t="str">
        <f aca="false">IFERROR(IF(A47="","",VLOOKUP(A47,Clientes!$A$3:$B$202,2,FALSE())),"")</f>
        <v/>
      </c>
    </row>
    <row r="48" customFormat="false" ht="15" hidden="false" customHeight="false" outlineLevel="0" collapsed="false">
      <c r="B48" s="0" t="str">
        <f aca="false">IFERROR(IF(A48="","",VLOOKUP(A48,Clientes!$A$3:$B$202,2,FALSE())),"")</f>
        <v/>
      </c>
    </row>
    <row r="49" customFormat="false" ht="15" hidden="false" customHeight="false" outlineLevel="0" collapsed="false">
      <c r="B49" s="0" t="str">
        <f aca="false">IFERROR(IF(A49="","",VLOOKUP(A49,Clientes!$A$3:$B$202,2,FALSE())),"")</f>
        <v/>
      </c>
    </row>
    <row r="50" customFormat="false" ht="15" hidden="false" customHeight="false" outlineLevel="0" collapsed="false">
      <c r="B50" s="0" t="str">
        <f aca="false">IFERROR(IF(A50="","",VLOOKUP(A50,Clientes!$A$3:$B$202,2,FALSE())),"")</f>
        <v/>
      </c>
    </row>
    <row r="51" customFormat="false" ht="15" hidden="false" customHeight="false" outlineLevel="0" collapsed="false">
      <c r="B51" s="0" t="str">
        <f aca="false">IFERROR(IF(A51="","",VLOOKUP(A51,Clientes!$A$3:$B$202,2,FALSE())),"")</f>
        <v/>
      </c>
    </row>
    <row r="52" customFormat="false" ht="15" hidden="false" customHeight="false" outlineLevel="0" collapsed="false">
      <c r="B52" s="0" t="str">
        <f aca="false">IFERROR(IF(A52="","",VLOOKUP(A52,Clientes!$A$3:$B$202,2,FALSE())),"")</f>
        <v/>
      </c>
    </row>
    <row r="53" customFormat="false" ht="15" hidden="false" customHeight="false" outlineLevel="0" collapsed="false">
      <c r="B53" s="0" t="str">
        <f aca="false">IFERROR(IF(A53="","",VLOOKUP(A53,Clientes!$A$3:$B$202,2,FALSE())),"")</f>
        <v/>
      </c>
    </row>
    <row r="54" customFormat="false" ht="15" hidden="false" customHeight="false" outlineLevel="0" collapsed="false">
      <c r="B54" s="0" t="str">
        <f aca="false">IFERROR(IF(A54="","",VLOOKUP(A54,Clientes!$A$3:$B$202,2,FALSE())),"")</f>
        <v/>
      </c>
    </row>
    <row r="55" customFormat="false" ht="15" hidden="false" customHeight="false" outlineLevel="0" collapsed="false">
      <c r="B55" s="0" t="str">
        <f aca="false">IFERROR(IF(A55="","",VLOOKUP(A55,Clientes!$A$3:$B$202,2,FALSE())),"")</f>
        <v/>
      </c>
    </row>
    <row r="56" customFormat="false" ht="15" hidden="false" customHeight="false" outlineLevel="0" collapsed="false">
      <c r="B56" s="0" t="str">
        <f aca="false">IFERROR(IF(A56="","",VLOOKUP(A56,Clientes!$A$3:$B$202,2,FALSE())),"")</f>
        <v/>
      </c>
    </row>
    <row r="57" customFormat="false" ht="15" hidden="false" customHeight="false" outlineLevel="0" collapsed="false">
      <c r="B57" s="0" t="str">
        <f aca="false">IFERROR(IF(A57="","",VLOOKUP(A57,Clientes!$A$3:$B$202,2,FALSE())),"")</f>
        <v/>
      </c>
    </row>
    <row r="58" customFormat="false" ht="15" hidden="false" customHeight="false" outlineLevel="0" collapsed="false">
      <c r="B58" s="0" t="str">
        <f aca="false">IFERROR(IF(A58="","",VLOOKUP(A58,Clientes!$A$3:$B$202,2,FALSE())),"")</f>
        <v/>
      </c>
    </row>
    <row r="59" customFormat="false" ht="15" hidden="false" customHeight="false" outlineLevel="0" collapsed="false">
      <c r="B59" s="0" t="str">
        <f aca="false">IFERROR(IF(A59="","",VLOOKUP(A59,Clientes!$A$3:$B$202,2,FALSE())),"")</f>
        <v/>
      </c>
    </row>
    <row r="60" customFormat="false" ht="15" hidden="false" customHeight="false" outlineLevel="0" collapsed="false">
      <c r="B60" s="0" t="str">
        <f aca="false">IFERROR(IF(A60="","",VLOOKUP(A60,Clientes!$A$3:$B$202,2,FALSE())),"")</f>
        <v/>
      </c>
    </row>
    <row r="61" customFormat="false" ht="15" hidden="false" customHeight="false" outlineLevel="0" collapsed="false">
      <c r="B61" s="0" t="str">
        <f aca="false">IFERROR(IF(A61="","",VLOOKUP(A61,Clientes!$A$3:$B$202,2,FALSE())),"")</f>
        <v/>
      </c>
    </row>
    <row r="62" customFormat="false" ht="15" hidden="false" customHeight="false" outlineLevel="0" collapsed="false">
      <c r="B62" s="0" t="str">
        <f aca="false">IFERROR(IF(A62="","",VLOOKUP(A62,Clientes!$A$3:$B$202,2,FALSE())),"")</f>
        <v/>
      </c>
    </row>
    <row r="63" customFormat="false" ht="15" hidden="false" customHeight="false" outlineLevel="0" collapsed="false">
      <c r="B63" s="0" t="str">
        <f aca="false">IFERROR(IF(A63="","",VLOOKUP(A63,Clientes!$A$3:$B$202,2,FALSE())),"")</f>
        <v/>
      </c>
    </row>
    <row r="64" customFormat="false" ht="15" hidden="false" customHeight="false" outlineLevel="0" collapsed="false">
      <c r="B64" s="0" t="str">
        <f aca="false">IFERROR(IF(A64="","",VLOOKUP(A64,Clientes!$A$3:$B$202,2,FALSE())),"")</f>
        <v/>
      </c>
    </row>
    <row r="65" customFormat="false" ht="15" hidden="false" customHeight="false" outlineLevel="0" collapsed="false">
      <c r="B65" s="0" t="str">
        <f aca="false">IFERROR(IF(A65="","",VLOOKUP(A65,Clientes!$A$3:$B$202,2,FALSE())),"")</f>
        <v/>
      </c>
    </row>
    <row r="66" customFormat="false" ht="15" hidden="false" customHeight="false" outlineLevel="0" collapsed="false">
      <c r="B66" s="0" t="str">
        <f aca="false">IFERROR(IF(A66="","",VLOOKUP(A66,Clientes!$A$3:$B$202,2,FALSE())),"")</f>
        <v/>
      </c>
    </row>
    <row r="67" customFormat="false" ht="15" hidden="false" customHeight="false" outlineLevel="0" collapsed="false">
      <c r="B67" s="0" t="str">
        <f aca="false">IFERROR(IF(A67="","",VLOOKUP(A67,Clientes!$A$3:$B$202,2,FALSE())),"")</f>
        <v/>
      </c>
    </row>
    <row r="68" customFormat="false" ht="15" hidden="false" customHeight="false" outlineLevel="0" collapsed="false">
      <c r="B68" s="0" t="str">
        <f aca="false">IFERROR(IF(A68="","",VLOOKUP(A68,Clientes!$A$3:$B$202,2,FALSE())),"")</f>
        <v/>
      </c>
    </row>
    <row r="69" customFormat="false" ht="15" hidden="false" customHeight="false" outlineLevel="0" collapsed="false">
      <c r="B69" s="0" t="str">
        <f aca="false">IFERROR(IF(A69="","",VLOOKUP(A69,Clientes!$A$3:$B$202,2,FALSE())),"")</f>
        <v/>
      </c>
    </row>
    <row r="70" customFormat="false" ht="15" hidden="false" customHeight="false" outlineLevel="0" collapsed="false">
      <c r="B70" s="0" t="str">
        <f aca="false">IFERROR(IF(A70="","",VLOOKUP(A70,Clientes!$A$3:$B$202,2,FALSE())),"")</f>
        <v/>
      </c>
    </row>
    <row r="71" customFormat="false" ht="15" hidden="false" customHeight="false" outlineLevel="0" collapsed="false">
      <c r="B71" s="0" t="str">
        <f aca="false">IFERROR(IF(A71="","",VLOOKUP(A71,Clientes!$A$3:$B$202,2,FALSE())),"")</f>
        <v/>
      </c>
    </row>
    <row r="72" customFormat="false" ht="15" hidden="false" customHeight="false" outlineLevel="0" collapsed="false">
      <c r="B72" s="0" t="str">
        <f aca="false">IFERROR(IF(A72="","",VLOOKUP(A72,Clientes!$A$3:$B$202,2,FALSE())),"")</f>
        <v/>
      </c>
    </row>
    <row r="73" customFormat="false" ht="15" hidden="false" customHeight="false" outlineLevel="0" collapsed="false">
      <c r="B73" s="0" t="str">
        <f aca="false">IFERROR(IF(A73="","",VLOOKUP(A73,Clientes!$A$3:$B$202,2,FALSE())),"")</f>
        <v/>
      </c>
    </row>
    <row r="74" customFormat="false" ht="15" hidden="false" customHeight="false" outlineLevel="0" collapsed="false">
      <c r="B74" s="0" t="str">
        <f aca="false">IFERROR(IF(A74="","",VLOOKUP(A74,Clientes!$A$3:$B$202,2,FALSE())),"")</f>
        <v/>
      </c>
    </row>
    <row r="75" customFormat="false" ht="15" hidden="false" customHeight="false" outlineLevel="0" collapsed="false">
      <c r="B75" s="0" t="str">
        <f aca="false">IFERROR(IF(A75="","",VLOOKUP(A75,Clientes!$A$3:$B$202,2,FALSE())),"")</f>
        <v/>
      </c>
    </row>
    <row r="76" customFormat="false" ht="15" hidden="false" customHeight="false" outlineLevel="0" collapsed="false">
      <c r="B76" s="0" t="str">
        <f aca="false">IFERROR(IF(A76="","",VLOOKUP(A76,Clientes!$A$3:$B$202,2,FALSE())),"")</f>
        <v/>
      </c>
    </row>
    <row r="77" customFormat="false" ht="15" hidden="false" customHeight="false" outlineLevel="0" collapsed="false">
      <c r="B77" s="0" t="str">
        <f aca="false">IFERROR(IF(A77="","",VLOOKUP(A77,Clientes!$A$3:$B$202,2,FALSE())),"")</f>
        <v/>
      </c>
    </row>
    <row r="78" customFormat="false" ht="15" hidden="false" customHeight="false" outlineLevel="0" collapsed="false">
      <c r="B78" s="0" t="str">
        <f aca="false">IFERROR(IF(A78="","",VLOOKUP(A78,Clientes!$A$3:$B$202,2,FALSE())),"")</f>
        <v/>
      </c>
    </row>
    <row r="79" customFormat="false" ht="15" hidden="false" customHeight="false" outlineLevel="0" collapsed="false">
      <c r="B79" s="0" t="str">
        <f aca="false">IFERROR(IF(A79="","",VLOOKUP(A79,Clientes!$A$3:$B$202,2,FALSE())),"")</f>
        <v/>
      </c>
    </row>
    <row r="80" customFormat="false" ht="15" hidden="false" customHeight="false" outlineLevel="0" collapsed="false">
      <c r="B80" s="0" t="str">
        <f aca="false">IFERROR(IF(A80="","",VLOOKUP(A80,Clientes!$A$3:$B$202,2,FALSE())),"")</f>
        <v/>
      </c>
    </row>
    <row r="81" customFormat="false" ht="15" hidden="false" customHeight="false" outlineLevel="0" collapsed="false">
      <c r="B81" s="0" t="str">
        <f aca="false">IFERROR(IF(A81="","",VLOOKUP(A81,Clientes!$A$3:$B$202,2,FALSE())),"")</f>
        <v/>
      </c>
    </row>
    <row r="82" customFormat="false" ht="15" hidden="false" customHeight="false" outlineLevel="0" collapsed="false">
      <c r="B82" s="0" t="str">
        <f aca="false">IFERROR(IF(A82="","",VLOOKUP(A82,Clientes!$A$3:$B$202,2,FALSE())),"")</f>
        <v/>
      </c>
    </row>
    <row r="83" customFormat="false" ht="15" hidden="false" customHeight="false" outlineLevel="0" collapsed="false">
      <c r="B83" s="0" t="str">
        <f aca="false">IFERROR(IF(A83="","",VLOOKUP(A83,Clientes!$A$3:$B$202,2,FALSE())),"")</f>
        <v/>
      </c>
    </row>
    <row r="84" customFormat="false" ht="15" hidden="false" customHeight="false" outlineLevel="0" collapsed="false">
      <c r="B84" s="0" t="str">
        <f aca="false">IFERROR(IF(A84="","",VLOOKUP(A84,Clientes!$A$3:$B$202,2,FALSE())),"")</f>
        <v/>
      </c>
    </row>
    <row r="85" customFormat="false" ht="15" hidden="false" customHeight="false" outlineLevel="0" collapsed="false">
      <c r="B85" s="0" t="str">
        <f aca="false">IFERROR(IF(A85="","",VLOOKUP(A85,Clientes!$A$3:$B$202,2,FALSE())),"")</f>
        <v/>
      </c>
    </row>
  </sheetData>
  <mergeCells count="10">
    <mergeCell ref="A1:I1"/>
    <mergeCell ref="A3:I3"/>
    <mergeCell ref="B4:I4"/>
    <mergeCell ref="B5:I5"/>
    <mergeCell ref="B6:I6"/>
    <mergeCell ref="B7:I7"/>
    <mergeCell ref="B8:I8"/>
    <mergeCell ref="B9:I9"/>
    <mergeCell ref="B10:I10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7" min="6" style="0" width="32"/>
    <col collapsed="false" customWidth="true" hidden="false" outlineLevel="0" max="8" min="8" style="0" width="18"/>
  </cols>
  <sheetData>
    <row r="1" customFormat="false" ht="27.75" hidden="false" customHeight="true" outlineLevel="0" collapsed="false">
      <c r="A1" s="1" t="s">
        <v>604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4" t="s">
        <v>12</v>
      </c>
      <c r="B2" s="4" t="s">
        <v>206</v>
      </c>
      <c r="C2" s="4" t="s">
        <v>545</v>
      </c>
      <c r="D2" s="4" t="s">
        <v>211</v>
      </c>
      <c r="E2" s="4" t="s">
        <v>208</v>
      </c>
      <c r="F2" s="4" t="s">
        <v>18</v>
      </c>
      <c r="G2" s="4" t="s">
        <v>605</v>
      </c>
      <c r="H2" s="4" t="s">
        <v>23</v>
      </c>
    </row>
    <row r="3" customFormat="false" ht="15" hidden="false" customHeight="false" outlineLevel="0" collapsed="false">
      <c r="A3" s="5" t="s">
        <v>57</v>
      </c>
      <c r="B3" s="5" t="str">
        <f aca="false">IFERROR(IF(A3="","",VLOOKUP(A3,Clientes!$A$3:$B$202,2,FALSE())),"")</f>
        <v>ARC</v>
      </c>
      <c r="C3" s="5" t="s">
        <v>606</v>
      </c>
      <c r="D3" s="5" t="s">
        <v>607</v>
      </c>
      <c r="E3" s="5" t="s">
        <v>608</v>
      </c>
      <c r="F3" s="5" t="s">
        <v>609</v>
      </c>
      <c r="G3" s="5" t="s">
        <v>610</v>
      </c>
      <c r="H3" s="5" t="s">
        <v>35</v>
      </c>
    </row>
    <row r="4" customFormat="false" ht="15" hidden="false" customHeight="false" outlineLevel="0" collapsed="false">
      <c r="A4" s="5" t="s">
        <v>57</v>
      </c>
      <c r="B4" s="5" t="str">
        <f aca="false">IFERROR(IF(A4="","",VLOOKUP(A4,Clientes!$A$3:$B$202,2,FALSE())),"")</f>
        <v>ARC</v>
      </c>
      <c r="C4" s="5" t="s">
        <v>611</v>
      </c>
      <c r="D4" s="5" t="s">
        <v>612</v>
      </c>
      <c r="E4" s="5" t="s">
        <v>608</v>
      </c>
      <c r="F4" s="5" t="s">
        <v>613</v>
      </c>
      <c r="G4" s="5" t="s">
        <v>614</v>
      </c>
      <c r="H4" s="5" t="s">
        <v>35</v>
      </c>
    </row>
    <row r="5" customFormat="false" ht="15" hidden="false" customHeight="false" outlineLevel="0" collapsed="false">
      <c r="A5" s="5" t="s">
        <v>57</v>
      </c>
      <c r="B5" s="5" t="str">
        <f aca="false">IFERROR(IF(A5="","",VLOOKUP(A5,Clientes!$A$3:$B$202,2,FALSE())),"")</f>
        <v>ARC</v>
      </c>
      <c r="C5" s="5" t="s">
        <v>615</v>
      </c>
      <c r="D5" s="5" t="s">
        <v>616</v>
      </c>
      <c r="E5" s="5" t="s">
        <v>608</v>
      </c>
      <c r="F5" s="5" t="s">
        <v>617</v>
      </c>
      <c r="G5" s="5" t="s">
        <v>618</v>
      </c>
      <c r="H5" s="5" t="s">
        <v>35</v>
      </c>
    </row>
    <row r="6" customFormat="false" ht="15" hidden="false" customHeight="false" outlineLevel="0" collapsed="false">
      <c r="A6" s="5" t="s">
        <v>57</v>
      </c>
      <c r="B6" s="5" t="str">
        <f aca="false">IFERROR(IF(A6="","",VLOOKUP(A6,Clientes!$A$3:$B$202,2,FALSE())),"")</f>
        <v>ARC</v>
      </c>
      <c r="C6" s="5" t="s">
        <v>619</v>
      </c>
      <c r="D6" s="5" t="s">
        <v>620</v>
      </c>
      <c r="E6" s="5" t="s">
        <v>608</v>
      </c>
      <c r="F6" s="5" t="s">
        <v>621</v>
      </c>
      <c r="G6" s="5" t="s">
        <v>622</v>
      </c>
      <c r="H6" s="5" t="s">
        <v>35</v>
      </c>
    </row>
    <row r="7" customFormat="false" ht="15" hidden="false" customHeight="false" outlineLevel="0" collapsed="false">
      <c r="A7" s="5" t="s">
        <v>57</v>
      </c>
      <c r="B7" s="5" t="str">
        <f aca="false">IFERROR(IF(A7="","",VLOOKUP(A7,Clientes!$A$3:$B$202,2,FALSE())),"")</f>
        <v>ARC</v>
      </c>
      <c r="C7" s="5" t="s">
        <v>623</v>
      </c>
      <c r="D7" s="5" t="s">
        <v>624</v>
      </c>
      <c r="E7" s="5" t="s">
        <v>625</v>
      </c>
      <c r="F7" s="5" t="s">
        <v>626</v>
      </c>
      <c r="G7" s="5" t="s">
        <v>627</v>
      </c>
      <c r="H7" s="5" t="s">
        <v>35</v>
      </c>
    </row>
    <row r="8" customFormat="false" ht="15" hidden="false" customHeight="false" outlineLevel="0" collapsed="false">
      <c r="A8" s="5" t="s">
        <v>57</v>
      </c>
      <c r="B8" s="5" t="str">
        <f aca="false">IFERROR(IF(A8="","",VLOOKUP(A8,Clientes!$A$3:$B$202,2,FALSE())),"")</f>
        <v>ARC</v>
      </c>
      <c r="C8" s="5" t="s">
        <v>628</v>
      </c>
      <c r="D8" s="5" t="s">
        <v>629</v>
      </c>
      <c r="E8" s="5" t="s">
        <v>625</v>
      </c>
      <c r="F8" s="5" t="s">
        <v>630</v>
      </c>
      <c r="G8" s="5" t="s">
        <v>631</v>
      </c>
      <c r="H8" s="5" t="s">
        <v>35</v>
      </c>
    </row>
    <row r="9" customFormat="false" ht="15" hidden="false" customHeight="false" outlineLevel="0" collapsed="false">
      <c r="A9" s="5" t="s">
        <v>57</v>
      </c>
      <c r="B9" s="5" t="str">
        <f aca="false">IFERROR(IF(A9="","",VLOOKUP(A9,Clientes!$A$3:$B$202,2,FALSE())),"")</f>
        <v>ARC</v>
      </c>
      <c r="C9" s="5" t="s">
        <v>632</v>
      </c>
      <c r="D9" s="5" t="s">
        <v>633</v>
      </c>
      <c r="E9" s="5" t="s">
        <v>634</v>
      </c>
      <c r="F9" s="5" t="s">
        <v>635</v>
      </c>
      <c r="G9" s="5" t="s">
        <v>636</v>
      </c>
      <c r="H9" s="5" t="s">
        <v>35</v>
      </c>
    </row>
    <row r="10" customFormat="false" ht="15" hidden="false" customHeight="false" outlineLevel="0" collapsed="false">
      <c r="A10" s="5" t="s">
        <v>57</v>
      </c>
      <c r="B10" s="5" t="str">
        <f aca="false">IFERROR(IF(A10="","",VLOOKUP(A10,Clientes!$A$3:$B$202,2,FALSE())),"")</f>
        <v>ARC</v>
      </c>
      <c r="C10" s="5" t="s">
        <v>637</v>
      </c>
      <c r="D10" s="5" t="s">
        <v>638</v>
      </c>
      <c r="E10" s="5" t="s">
        <v>634</v>
      </c>
      <c r="F10" s="5" t="s">
        <v>639</v>
      </c>
      <c r="G10" s="5" t="s">
        <v>640</v>
      </c>
      <c r="H10" s="5" t="s">
        <v>35</v>
      </c>
    </row>
    <row r="11" customFormat="false" ht="15" hidden="false" customHeight="false" outlineLevel="0" collapsed="false">
      <c r="A11" s="5" t="s">
        <v>57</v>
      </c>
      <c r="B11" s="5" t="str">
        <f aca="false">IFERROR(IF(A11="","",VLOOKUP(A11,Clientes!$A$3:$B$202,2,FALSE())),"")</f>
        <v>ARC</v>
      </c>
      <c r="C11" s="5" t="s">
        <v>641</v>
      </c>
      <c r="D11" s="5" t="s">
        <v>642</v>
      </c>
      <c r="E11" s="5" t="s">
        <v>643</v>
      </c>
      <c r="F11" s="5" t="s">
        <v>644</v>
      </c>
      <c r="G11" s="5" t="s">
        <v>645</v>
      </c>
      <c r="H11" s="5" t="s">
        <v>35</v>
      </c>
    </row>
    <row r="12" customFormat="false" ht="15" hidden="false" customHeight="false" outlineLevel="0" collapsed="false">
      <c r="B12" s="0" t="str">
        <f aca="false">IFERROR(IF(A12="","",VLOOKUP(A12,Clientes!$A$3:$B$202,2,FALSE())),"")</f>
        <v/>
      </c>
    </row>
    <row r="13" customFormat="false" ht="15" hidden="false" customHeight="false" outlineLevel="0" collapsed="false">
      <c r="B13" s="0" t="str">
        <f aca="false">IFERROR(IF(A13="","",VLOOKUP(A13,Clientes!$A$3:$B$202,2,FALSE())),"")</f>
        <v/>
      </c>
    </row>
    <row r="14" customFormat="false" ht="15" hidden="false" customHeight="false" outlineLevel="0" collapsed="false">
      <c r="B14" s="0" t="str">
        <f aca="false">IFERROR(IF(A14="","",VLOOKUP(A14,Clientes!$A$3:$B$202,2,FALSE())),"")</f>
        <v/>
      </c>
    </row>
    <row r="15" customFormat="false" ht="15" hidden="false" customHeight="false" outlineLevel="0" collapsed="false">
      <c r="B15" s="0" t="str">
        <f aca="false">IFERROR(IF(A15="","",VLOOKUP(A15,Clientes!$A$3:$B$202,2,FALSE())),"")</f>
        <v/>
      </c>
    </row>
    <row r="16" customFormat="false" ht="15" hidden="false" customHeight="false" outlineLevel="0" collapsed="false">
      <c r="B16" s="0" t="str">
        <f aca="false">IFERROR(IF(A16="","",VLOOKUP(A16,Clientes!$A$3:$B$202,2,FALSE())),"")</f>
        <v/>
      </c>
    </row>
    <row r="17" customFormat="false" ht="15" hidden="false" customHeight="false" outlineLevel="0" collapsed="false">
      <c r="B17" s="0" t="str">
        <f aca="false">IFERROR(IF(A17="","",VLOOKUP(A17,Clientes!$A$3:$B$202,2,FALSE())),"")</f>
        <v/>
      </c>
    </row>
    <row r="18" customFormat="false" ht="15" hidden="false" customHeight="false" outlineLevel="0" collapsed="false">
      <c r="B18" s="0" t="str">
        <f aca="false">IFERROR(IF(A18="","",VLOOKUP(A18,Clientes!$A$3:$B$202,2,FALSE())),"")</f>
        <v/>
      </c>
    </row>
    <row r="19" customFormat="false" ht="15" hidden="false" customHeight="false" outlineLevel="0" collapsed="false">
      <c r="B19" s="0" t="str">
        <f aca="false">IFERROR(IF(A19="","",VLOOKUP(A19,Clientes!$A$3:$B$202,2,FALSE())),"")</f>
        <v/>
      </c>
    </row>
    <row r="20" customFormat="false" ht="15" hidden="false" customHeight="false" outlineLevel="0" collapsed="false">
      <c r="B20" s="0" t="str">
        <f aca="false">IFERROR(IF(A20="","",VLOOKUP(A20,Clientes!$A$3:$B$202,2,FALSE())),"")</f>
        <v/>
      </c>
    </row>
    <row r="21" customFormat="false" ht="15" hidden="false" customHeight="false" outlineLevel="0" collapsed="false">
      <c r="B21" s="0" t="str">
        <f aca="false">IFERROR(IF(A21="","",VLOOKUP(A21,Clientes!$A$3:$B$202,2,FALSE())),"")</f>
        <v/>
      </c>
    </row>
    <row r="22" customFormat="false" ht="15" hidden="false" customHeight="false" outlineLevel="0" collapsed="false">
      <c r="B22" s="0" t="str">
        <f aca="false">IFERROR(IF(A22="","",VLOOKUP(A22,Clientes!$A$3:$B$202,2,FALSE())),"")</f>
        <v/>
      </c>
    </row>
    <row r="23" customFormat="false" ht="15" hidden="false" customHeight="false" outlineLevel="0" collapsed="false">
      <c r="B23" s="0" t="str">
        <f aca="false">IFERROR(IF(A23="","",VLOOKUP(A23,Clientes!$A$3:$B$202,2,FALSE())),"")</f>
        <v/>
      </c>
    </row>
    <row r="24" customFormat="false" ht="15" hidden="false" customHeight="false" outlineLevel="0" collapsed="false">
      <c r="B24" s="0" t="str">
        <f aca="false">IFERROR(IF(A24="","",VLOOKUP(A24,Clientes!$A$3:$B$202,2,FALSE())),"")</f>
        <v/>
      </c>
    </row>
    <row r="25" customFormat="false" ht="15" hidden="false" customHeight="false" outlineLevel="0" collapsed="false">
      <c r="B25" s="0" t="str">
        <f aca="false">IFERROR(IF(A25="","",VLOOKUP(A25,Clientes!$A$3:$B$202,2,FALSE())),"")</f>
        <v/>
      </c>
    </row>
    <row r="26" customFormat="false" ht="15" hidden="false" customHeight="false" outlineLevel="0" collapsed="false">
      <c r="B26" s="0" t="str">
        <f aca="false">IFERROR(IF(A26="","",VLOOKUP(A26,Clientes!$A$3:$B$202,2,FALSE())),"")</f>
        <v/>
      </c>
    </row>
    <row r="27" customFormat="false" ht="15" hidden="false" customHeight="false" outlineLevel="0" collapsed="false">
      <c r="B27" s="0" t="str">
        <f aca="false">IFERROR(IF(A27="","",VLOOKUP(A27,Clientes!$A$3:$B$202,2,FALSE())),"")</f>
        <v/>
      </c>
    </row>
    <row r="28" customFormat="false" ht="15" hidden="false" customHeight="false" outlineLevel="0" collapsed="false">
      <c r="B28" s="0" t="str">
        <f aca="false">IFERROR(IF(A28="","",VLOOKUP(A28,Clientes!$A$3:$B$202,2,FALSE())),"")</f>
        <v/>
      </c>
    </row>
    <row r="29" customFormat="false" ht="15" hidden="false" customHeight="false" outlineLevel="0" collapsed="false">
      <c r="B29" s="0" t="str">
        <f aca="false">IFERROR(IF(A29="","",VLOOKUP(A29,Clientes!$A$3:$B$202,2,FALSE())),"")</f>
        <v/>
      </c>
    </row>
    <row r="30" customFormat="false" ht="15" hidden="false" customHeight="false" outlineLevel="0" collapsed="false">
      <c r="B30" s="0" t="str">
        <f aca="false">IFERROR(IF(A30="","",VLOOKUP(A30,Clientes!$A$3:$B$202,2,FALSE())),"")</f>
        <v/>
      </c>
    </row>
    <row r="31" customFormat="false" ht="15" hidden="false" customHeight="false" outlineLevel="0" collapsed="false">
      <c r="B31" s="0" t="str">
        <f aca="false">IFERROR(IF(A31="","",VLOOKUP(A31,Clientes!$A$3:$B$202,2,FALSE())),"")</f>
        <v/>
      </c>
    </row>
    <row r="32" customFormat="false" ht="15" hidden="false" customHeight="false" outlineLevel="0" collapsed="false">
      <c r="B32" s="0" t="str">
        <f aca="false">IFERROR(IF(A32="","",VLOOKUP(A32,Clientes!$A$3:$B$202,2,FALSE())),"")</f>
        <v/>
      </c>
    </row>
    <row r="33" customFormat="false" ht="15" hidden="false" customHeight="false" outlineLevel="0" collapsed="false">
      <c r="B33" s="0" t="str">
        <f aca="false">IFERROR(IF(A33="","",VLOOKUP(A33,Clientes!$A$3:$B$202,2,FALSE())),"")</f>
        <v/>
      </c>
    </row>
    <row r="34" customFormat="false" ht="15" hidden="false" customHeight="false" outlineLevel="0" collapsed="false">
      <c r="B34" s="0" t="str">
        <f aca="false">IFERROR(IF(A34="","",VLOOKUP(A34,Clientes!$A$3:$B$202,2,FALSE())),"")</f>
        <v/>
      </c>
    </row>
    <row r="35" customFormat="false" ht="15" hidden="false" customHeight="false" outlineLevel="0" collapsed="false">
      <c r="B35" s="0" t="str">
        <f aca="false">IFERROR(IF(A35="","",VLOOKUP(A35,Clientes!$A$3:$B$202,2,FALSE())),"")</f>
        <v/>
      </c>
    </row>
    <row r="36" customFormat="false" ht="15" hidden="false" customHeight="false" outlineLevel="0" collapsed="false">
      <c r="B36" s="0" t="str">
        <f aca="false">IFERROR(IF(A36="","",VLOOKUP(A36,Clientes!$A$3:$B$202,2,FALSE())),"")</f>
        <v/>
      </c>
    </row>
    <row r="37" customFormat="false" ht="15" hidden="false" customHeight="false" outlineLevel="0" collapsed="false">
      <c r="B37" s="0" t="str">
        <f aca="false">IFERROR(IF(A37="","",VLOOKUP(A37,Clientes!$A$3:$B$202,2,FALSE())),"")</f>
        <v/>
      </c>
    </row>
    <row r="38" customFormat="false" ht="15" hidden="false" customHeight="false" outlineLevel="0" collapsed="false">
      <c r="B38" s="0" t="str">
        <f aca="false">IFERROR(IF(A38="","",VLOOKUP(A38,Clientes!$A$3:$B$202,2,FALSE())),"")</f>
        <v/>
      </c>
    </row>
    <row r="39" customFormat="false" ht="15" hidden="false" customHeight="false" outlineLevel="0" collapsed="false">
      <c r="B39" s="0" t="str">
        <f aca="false">IFERROR(IF(A39="","",VLOOKUP(A39,Clientes!$A$3:$B$202,2,FALSE())),"")</f>
        <v/>
      </c>
    </row>
    <row r="40" customFormat="false" ht="15" hidden="false" customHeight="false" outlineLevel="0" collapsed="false">
      <c r="B40" s="0" t="str">
        <f aca="false">IFERROR(IF(A40="","",VLOOKUP(A40,Clientes!$A$3:$B$202,2,FALSE())),"")</f>
        <v/>
      </c>
    </row>
    <row r="41" customFormat="false" ht="15" hidden="false" customHeight="false" outlineLevel="0" collapsed="false">
      <c r="B41" s="0" t="str">
        <f aca="false">IFERROR(IF(A41="","",VLOOKUP(A41,Clientes!$A$3:$B$202,2,FALSE())),"")</f>
        <v/>
      </c>
    </row>
    <row r="42" customFormat="false" ht="15" hidden="false" customHeight="false" outlineLevel="0" collapsed="false">
      <c r="B42" s="0" t="str">
        <f aca="false">IFERROR(IF(A42="","",VLOOKUP(A42,Clientes!$A$3:$B$202,2,FALSE())),"")</f>
        <v/>
      </c>
    </row>
    <row r="43" customFormat="false" ht="15" hidden="false" customHeight="false" outlineLevel="0" collapsed="false">
      <c r="B43" s="0" t="str">
        <f aca="false">IFERROR(IF(A43="","",VLOOKUP(A43,Clientes!$A$3:$B$202,2,FALSE())),"")</f>
        <v/>
      </c>
    </row>
    <row r="44" customFormat="false" ht="15" hidden="false" customHeight="false" outlineLevel="0" collapsed="false">
      <c r="B44" s="0" t="str">
        <f aca="false">IFERROR(IF(A44="","",VLOOKUP(A44,Clientes!$A$3:$B$202,2,FALSE())),"")</f>
        <v/>
      </c>
    </row>
    <row r="45" customFormat="false" ht="15" hidden="false" customHeight="false" outlineLevel="0" collapsed="false">
      <c r="B45" s="0" t="str">
        <f aca="false">IFERROR(IF(A45="","",VLOOKUP(A45,Clientes!$A$3:$B$202,2,FALSE())),"")</f>
        <v/>
      </c>
    </row>
    <row r="46" customFormat="false" ht="15" hidden="false" customHeight="false" outlineLevel="0" collapsed="false">
      <c r="B46" s="0" t="str">
        <f aca="false">IFERROR(IF(A46="","",VLOOKUP(A46,Clientes!$A$3:$B$202,2,FALSE())),"")</f>
        <v/>
      </c>
    </row>
    <row r="47" customFormat="false" ht="15" hidden="false" customHeight="false" outlineLevel="0" collapsed="false">
      <c r="B47" s="0" t="str">
        <f aca="false">IFERROR(IF(A47="","",VLOOKUP(A47,Clientes!$A$3:$B$202,2,FALSE())),"")</f>
        <v/>
      </c>
    </row>
    <row r="48" customFormat="false" ht="15" hidden="false" customHeight="false" outlineLevel="0" collapsed="false">
      <c r="B48" s="0" t="str">
        <f aca="false">IFERROR(IF(A48="","",VLOOKUP(A48,Clientes!$A$3:$B$202,2,FALSE())),"")</f>
        <v/>
      </c>
    </row>
    <row r="49" customFormat="false" ht="15" hidden="false" customHeight="false" outlineLevel="0" collapsed="false">
      <c r="B49" s="0" t="str">
        <f aca="false">IFERROR(IF(A49="","",VLOOKUP(A49,Clientes!$A$3:$B$202,2,FALSE())),"")</f>
        <v/>
      </c>
    </row>
    <row r="50" customFormat="false" ht="15" hidden="false" customHeight="false" outlineLevel="0" collapsed="false">
      <c r="B50" s="0" t="str">
        <f aca="false">IFERROR(IF(A50="","",VLOOKUP(A50,Clientes!$A$3:$B$202,2,FALSE())),"")</f>
        <v/>
      </c>
    </row>
    <row r="51" customFormat="false" ht="15" hidden="false" customHeight="false" outlineLevel="0" collapsed="false">
      <c r="B51" s="0" t="str">
        <f aca="false">IFERROR(IF(A51="","",VLOOKUP(A51,Clientes!$A$3:$B$202,2,FALSE())),"")</f>
        <v/>
      </c>
    </row>
    <row r="52" customFormat="false" ht="15" hidden="false" customHeight="false" outlineLevel="0" collapsed="false">
      <c r="B52" s="0" t="str">
        <f aca="false">IFERROR(IF(A52="","",VLOOKUP(A52,Clientes!$A$3:$B$202,2,FALSE())),"")</f>
        <v/>
      </c>
    </row>
    <row r="53" customFormat="false" ht="15" hidden="false" customHeight="false" outlineLevel="0" collapsed="false">
      <c r="B53" s="0" t="str">
        <f aca="false">IFERROR(IF(A53="","",VLOOKUP(A53,Clientes!$A$3:$B$202,2,FALSE())),"")</f>
        <v/>
      </c>
    </row>
    <row r="54" customFormat="false" ht="15" hidden="false" customHeight="false" outlineLevel="0" collapsed="false">
      <c r="B54" s="0" t="str">
        <f aca="false">IFERROR(IF(A54="","",VLOOKUP(A54,Clientes!$A$3:$B$202,2,FALSE())),"")</f>
        <v/>
      </c>
    </row>
    <row r="55" customFormat="false" ht="15" hidden="false" customHeight="false" outlineLevel="0" collapsed="false">
      <c r="B55" s="0" t="str">
        <f aca="false">IFERROR(IF(A55="","",VLOOKUP(A55,Clientes!$A$3:$B$202,2,FALSE())),"")</f>
        <v/>
      </c>
    </row>
    <row r="56" customFormat="false" ht="15" hidden="false" customHeight="false" outlineLevel="0" collapsed="false">
      <c r="B56" s="0" t="str">
        <f aca="false">IFERROR(IF(A56="","",VLOOKUP(A56,Clientes!$A$3:$B$202,2,FALSE())),"")</f>
        <v/>
      </c>
    </row>
    <row r="57" customFormat="false" ht="15" hidden="false" customHeight="false" outlineLevel="0" collapsed="false">
      <c r="B57" s="0" t="str">
        <f aca="false">IFERROR(IF(A57="","",VLOOKUP(A57,Clientes!$A$3:$B$202,2,FALSE())),"")</f>
        <v/>
      </c>
    </row>
    <row r="58" customFormat="false" ht="15" hidden="false" customHeight="false" outlineLevel="0" collapsed="false">
      <c r="B58" s="0" t="str">
        <f aca="false">IFERROR(IF(A58="","",VLOOKUP(A58,Clientes!$A$3:$B$202,2,FALSE())),"")</f>
        <v/>
      </c>
    </row>
    <row r="59" customFormat="false" ht="15" hidden="false" customHeight="false" outlineLevel="0" collapsed="false">
      <c r="B59" s="0" t="str">
        <f aca="false">IFERROR(IF(A59="","",VLOOKUP(A59,Clientes!$A$3:$B$202,2,FALSE())),"")</f>
        <v/>
      </c>
    </row>
    <row r="60" customFormat="false" ht="15" hidden="false" customHeight="false" outlineLevel="0" collapsed="false">
      <c r="B60" s="0" t="str">
        <f aca="false">IFERROR(IF(A60="","",VLOOKUP(A60,Clientes!$A$3:$B$202,2,FALSE())),"")</f>
        <v/>
      </c>
    </row>
    <row r="61" customFormat="false" ht="15" hidden="false" customHeight="false" outlineLevel="0" collapsed="false">
      <c r="B61" s="0" t="str">
        <f aca="false">IFERROR(IF(A61="","",VLOOKUP(A61,Clientes!$A$3:$B$202,2,FALSE())),"")</f>
        <v/>
      </c>
    </row>
    <row r="62" customFormat="false" ht="15" hidden="false" customHeight="false" outlineLevel="0" collapsed="false">
      <c r="B62" s="0" t="str">
        <f aca="false">IFERROR(IF(A62="","",VLOOKUP(A62,Clientes!$A$3:$B$202,2,FALSE())),"")</f>
        <v/>
      </c>
    </row>
    <row r="63" customFormat="false" ht="15" hidden="false" customHeight="false" outlineLevel="0" collapsed="false">
      <c r="B63" s="0" t="str">
        <f aca="false">IFERROR(IF(A63="","",VLOOKUP(A63,Clientes!$A$3:$B$202,2,FALSE())),"")</f>
        <v/>
      </c>
    </row>
    <row r="64" customFormat="false" ht="15" hidden="false" customHeight="false" outlineLevel="0" collapsed="false">
      <c r="B64" s="0" t="str">
        <f aca="false">IFERROR(IF(A64="","",VLOOKUP(A64,Clientes!$A$3:$B$202,2,FALSE())),"")</f>
        <v/>
      </c>
    </row>
    <row r="65" customFormat="false" ht="15" hidden="false" customHeight="false" outlineLevel="0" collapsed="false">
      <c r="B65" s="0" t="str">
        <f aca="false">IFERROR(IF(A65="","",VLOOKUP(A65,Clientes!$A$3:$B$202,2,FALSE())),"")</f>
        <v/>
      </c>
    </row>
    <row r="66" customFormat="false" ht="15" hidden="false" customHeight="false" outlineLevel="0" collapsed="false">
      <c r="B66" s="0" t="str">
        <f aca="false">IFERROR(IF(A66="","",VLOOKUP(A66,Clientes!$A$3:$B$202,2,FALSE())),"")</f>
        <v/>
      </c>
    </row>
    <row r="67" customFormat="false" ht="15" hidden="false" customHeight="false" outlineLevel="0" collapsed="false">
      <c r="B67" s="0" t="str">
        <f aca="false">IFERROR(IF(A67="","",VLOOKUP(A67,Clientes!$A$3:$B$202,2,FALSE())),"")</f>
        <v/>
      </c>
    </row>
    <row r="68" customFormat="false" ht="15" hidden="false" customHeight="false" outlineLevel="0" collapsed="false">
      <c r="B68" s="0" t="str">
        <f aca="false">IFERROR(IF(A68="","",VLOOKUP(A68,Clientes!$A$3:$B$202,2,FALSE())),"")</f>
        <v/>
      </c>
    </row>
    <row r="69" customFormat="false" ht="15" hidden="false" customHeight="false" outlineLevel="0" collapsed="false">
      <c r="B69" s="0" t="str">
        <f aca="false">IFERROR(IF(A69="","",VLOOKUP(A69,Clientes!$A$3:$B$202,2,FALSE())),"")</f>
        <v/>
      </c>
    </row>
    <row r="70" customFormat="false" ht="15" hidden="false" customHeight="false" outlineLevel="0" collapsed="false">
      <c r="B70" s="0" t="str">
        <f aca="false">IFERROR(IF(A70="","",VLOOKUP(A70,Clientes!$A$3:$B$202,2,FALSE())),"")</f>
        <v/>
      </c>
    </row>
    <row r="71" customFormat="false" ht="15" hidden="false" customHeight="false" outlineLevel="0" collapsed="false">
      <c r="B71" s="0" t="str">
        <f aca="false">IFERROR(IF(A71="","",VLOOKUP(A71,Clientes!$A$3:$B$202,2,FALSE())),"")</f>
        <v/>
      </c>
    </row>
    <row r="72" customFormat="false" ht="15" hidden="false" customHeight="false" outlineLevel="0" collapsed="false">
      <c r="B72" s="0" t="str">
        <f aca="false">IFERROR(IF(A72="","",VLOOKUP(A72,Clientes!$A$3:$B$202,2,FALSE())),"")</f>
        <v/>
      </c>
    </row>
    <row r="73" customFormat="false" ht="15" hidden="false" customHeight="false" outlineLevel="0" collapsed="false">
      <c r="B73" s="0" t="str">
        <f aca="false">IFERROR(IF(A73="","",VLOOKUP(A73,Clientes!$A$3:$B$202,2,FALSE())),"")</f>
        <v/>
      </c>
    </row>
    <row r="74" customFormat="false" ht="15" hidden="false" customHeight="false" outlineLevel="0" collapsed="false">
      <c r="B74" s="0" t="str">
        <f aca="false">IFERROR(IF(A74="","",VLOOKUP(A74,Clientes!$A$3:$B$202,2,FALSE())),"")</f>
        <v/>
      </c>
    </row>
    <row r="75" customFormat="false" ht="15" hidden="false" customHeight="false" outlineLevel="0" collapsed="false">
      <c r="B75" s="0" t="str">
        <f aca="false">IFERROR(IF(A75="","",VLOOKUP(A75,Clientes!$A$3:$B$202,2,FALSE())),"")</f>
        <v/>
      </c>
    </row>
    <row r="76" customFormat="false" ht="15" hidden="false" customHeight="false" outlineLevel="0" collapsed="false">
      <c r="B76" s="0" t="str">
        <f aca="false">IFERROR(IF(A76="","",VLOOKUP(A76,Clientes!$A$3:$B$202,2,FALSE())),"")</f>
        <v/>
      </c>
    </row>
    <row r="77" customFormat="false" ht="15" hidden="false" customHeight="false" outlineLevel="0" collapsed="false">
      <c r="B77" s="0" t="str">
        <f aca="false">IFERROR(IF(A77="","",VLOOKUP(A77,Clientes!$A$3:$B$202,2,FALSE())),"")</f>
        <v/>
      </c>
    </row>
    <row r="78" customFormat="false" ht="15" hidden="false" customHeight="false" outlineLevel="0" collapsed="false">
      <c r="B78" s="0" t="str">
        <f aca="false">IFERROR(IF(A78="","",VLOOKUP(A78,Clientes!$A$3:$B$202,2,FALSE())),"")</f>
        <v/>
      </c>
    </row>
    <row r="79" customFormat="false" ht="15" hidden="false" customHeight="false" outlineLevel="0" collapsed="false">
      <c r="B79" s="0" t="str">
        <f aca="false">IFERROR(IF(A79="","",VLOOKUP(A79,Clientes!$A$3:$B$202,2,FALSE())),"")</f>
        <v/>
      </c>
    </row>
    <row r="80" customFormat="false" ht="15" hidden="false" customHeight="false" outlineLevel="0" collapsed="false">
      <c r="B80" s="0" t="str">
        <f aca="false">IFERROR(IF(A80="","",VLOOKUP(A80,Clientes!$A$3:$B$202,2,FALSE())),"")</f>
        <v/>
      </c>
    </row>
    <row r="81" customFormat="false" ht="15" hidden="false" customHeight="false" outlineLevel="0" collapsed="false">
      <c r="B81" s="0" t="str">
        <f aca="false">IFERROR(IF(A81="","",VLOOKUP(A81,Clientes!$A$3:$B$202,2,FALSE())),"")</f>
        <v/>
      </c>
    </row>
    <row r="82" customFormat="false" ht="15" hidden="false" customHeight="false" outlineLevel="0" collapsed="false">
      <c r="B82" s="0" t="str">
        <f aca="false">IFERROR(IF(A82="","",VLOOKUP(A82,Clientes!$A$3:$B$202,2,FALSE())),"")</f>
        <v/>
      </c>
    </row>
    <row r="83" customFormat="false" ht="15" hidden="false" customHeight="false" outlineLevel="0" collapsed="false">
      <c r="B83" s="0" t="str">
        <f aca="false">IFERROR(IF(A83="","",VLOOKUP(A83,Clientes!$A$3:$B$202,2,FALSE())),"")</f>
        <v/>
      </c>
    </row>
    <row r="84" customFormat="false" ht="15" hidden="false" customHeight="false" outlineLevel="0" collapsed="false">
      <c r="B84" s="0" t="str">
        <f aca="false">IFERROR(IF(A84="","",VLOOKUP(A84,Clientes!$A$3:$B$202,2,FALSE())),"")</f>
        <v/>
      </c>
    </row>
    <row r="85" customFormat="false" ht="15" hidden="false" customHeight="false" outlineLevel="0" collapsed="false">
      <c r="B85" s="0" t="str">
        <f aca="false">IFERROR(IF(A85="","",VLOOKUP(A85,Clientes!$A$3:$B$202,2,FALSE())),"")</f>
        <v/>
      </c>
    </row>
    <row r="86" customFormat="false" ht="15" hidden="false" customHeight="false" outlineLevel="0" collapsed="false">
      <c r="B86" s="0" t="str">
        <f aca="false">IFERROR(IF(A86="","",VLOOKUP(A86,Clientes!$A$3:$B$202,2,FALSE())),"")</f>
        <v/>
      </c>
    </row>
    <row r="87" customFormat="false" ht="15" hidden="false" customHeight="false" outlineLevel="0" collapsed="false">
      <c r="B87" s="0" t="str">
        <f aca="false">IFERROR(IF(A87="","",VLOOKUP(A87,Clientes!$A$3:$B$202,2,FALSE())),"")</f>
        <v/>
      </c>
    </row>
    <row r="88" customFormat="false" ht="15" hidden="false" customHeight="false" outlineLevel="0" collapsed="false">
      <c r="B88" s="0" t="str">
        <f aca="false">IFERROR(IF(A88="","",VLOOKUP(A88,Clientes!$A$3:$B$202,2,FALSE())),"")</f>
        <v/>
      </c>
    </row>
    <row r="89" customFormat="false" ht="15" hidden="false" customHeight="false" outlineLevel="0" collapsed="false">
      <c r="B89" s="0" t="str">
        <f aca="false">IFERROR(IF(A89="","",VLOOKUP(A89,Clientes!$A$3:$B$202,2,FALSE())),"")</f>
        <v/>
      </c>
    </row>
    <row r="90" customFormat="false" ht="15" hidden="false" customHeight="false" outlineLevel="0" collapsed="false">
      <c r="B90" s="0" t="str">
        <f aca="false">IFERROR(IF(A90="","",VLOOKUP(A90,Clientes!$A$3:$B$202,2,FALSE())),"")</f>
        <v/>
      </c>
    </row>
    <row r="91" customFormat="false" ht="15" hidden="false" customHeight="false" outlineLevel="0" collapsed="false">
      <c r="B91" s="0" t="str">
        <f aca="false">IFERROR(IF(A91="","",VLOOKUP(A91,Clientes!$A$3:$B$202,2,FALSE())),"")</f>
        <v/>
      </c>
    </row>
    <row r="92" customFormat="false" ht="15" hidden="false" customHeight="false" outlineLevel="0" collapsed="false">
      <c r="B92" s="0" t="str">
        <f aca="false">IFERROR(IF(A92="","",VLOOKUP(A92,Clientes!$A$3:$B$202,2,FALSE())),"")</f>
        <v/>
      </c>
    </row>
    <row r="93" customFormat="false" ht="15" hidden="false" customHeight="false" outlineLevel="0" collapsed="false">
      <c r="B93" s="0" t="str">
        <f aca="false">IFERROR(IF(A93="","",VLOOKUP(A93,Clientes!$A$3:$B$202,2,FALSE())),"")</f>
        <v/>
      </c>
    </row>
    <row r="94" customFormat="false" ht="15" hidden="false" customHeight="false" outlineLevel="0" collapsed="false">
      <c r="B94" s="0" t="str">
        <f aca="false">IFERROR(IF(A94="","",VLOOKUP(A94,Clientes!$A$3:$B$202,2,FALSE())),"")</f>
        <v/>
      </c>
    </row>
    <row r="95" customFormat="false" ht="15" hidden="false" customHeight="false" outlineLevel="0" collapsed="false">
      <c r="B95" s="0" t="str">
        <f aca="false">IFERROR(IF(A95="","",VLOOKUP(A95,Clientes!$A$3:$B$202,2,FALSE())),"")</f>
        <v/>
      </c>
    </row>
    <row r="96" customFormat="false" ht="15" hidden="false" customHeight="false" outlineLevel="0" collapsed="false">
      <c r="B96" s="0" t="str">
        <f aca="false">IFERROR(IF(A96="","",VLOOKUP(A96,Clientes!$A$3:$B$202,2,FALSE())),"")</f>
        <v/>
      </c>
    </row>
    <row r="97" customFormat="false" ht="15" hidden="false" customHeight="false" outlineLevel="0" collapsed="false">
      <c r="B97" s="0" t="str">
        <f aca="false">IFERROR(IF(A97="","",VLOOKUP(A97,Clientes!$A$3:$B$202,2,FALSE())),"")</f>
        <v/>
      </c>
    </row>
    <row r="98" customFormat="false" ht="15" hidden="false" customHeight="false" outlineLevel="0" collapsed="false">
      <c r="B98" s="0" t="str">
        <f aca="false">IFERROR(IF(A98="","",VLOOKUP(A98,Clientes!$A$3:$B$202,2,FALSE())),"")</f>
        <v/>
      </c>
    </row>
    <row r="99" customFormat="false" ht="15" hidden="false" customHeight="false" outlineLevel="0" collapsed="false">
      <c r="B99" s="0" t="str">
        <f aca="false">IFERROR(IF(A99="","",VLOOKUP(A99,Clientes!$A$3:$B$202,2,FALSE())),"")</f>
        <v/>
      </c>
    </row>
    <row r="100" customFormat="false" ht="15" hidden="false" customHeight="false" outlineLevel="0" collapsed="false">
      <c r="B100" s="0" t="str">
        <f aca="false">IFERROR(IF(A100="","",VLOOKUP(A100,Clientes!$A$3:$B$202,2,FALSE())),"")</f>
        <v/>
      </c>
    </row>
    <row r="101" customFormat="false" ht="15" hidden="false" customHeight="false" outlineLevel="0" collapsed="false">
      <c r="B101" s="0" t="str">
        <f aca="false">IFERROR(IF(A101="","",VLOOKUP(A101,Clientes!$A$3:$B$202,2,FALSE())),"")</f>
        <v/>
      </c>
    </row>
    <row r="102" customFormat="false" ht="15" hidden="false" customHeight="false" outlineLevel="0" collapsed="false">
      <c r="B102" s="0" t="str">
        <f aca="false">IFERROR(IF(A102="","",VLOOKUP(A102,Clientes!$A$3:$B$202,2,FALSE())),"")</f>
        <v/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4" min="3" style="0" width="42"/>
    <col collapsed="false" customWidth="true" hidden="false" outlineLevel="0" max="5" min="5" style="0" width="30"/>
  </cols>
  <sheetData>
    <row r="1" customFormat="false" ht="27.75" hidden="false" customHeight="true" outlineLevel="0" collapsed="false">
      <c r="A1" s="1" t="s">
        <v>646</v>
      </c>
      <c r="B1" s="1"/>
      <c r="C1" s="1"/>
      <c r="D1" s="1"/>
      <c r="E1" s="1"/>
    </row>
    <row r="3" customFormat="false" ht="15" hidden="false" customHeight="true" outlineLevel="0" collapsed="false">
      <c r="A3" s="6" t="s">
        <v>647</v>
      </c>
      <c r="B3" s="6"/>
      <c r="C3" s="6"/>
      <c r="D3" s="6"/>
      <c r="E3" s="6"/>
    </row>
    <row r="4" customFormat="false" ht="15" hidden="false" customHeight="false" outlineLevel="0" collapsed="false">
      <c r="A4" s="9" t="s">
        <v>648</v>
      </c>
      <c r="B4" s="5" t="s">
        <v>649</v>
      </c>
    </row>
    <row r="5" customFormat="false" ht="15" hidden="false" customHeight="false" outlineLevel="0" collapsed="false">
      <c r="A5" s="9" t="s">
        <v>650</v>
      </c>
      <c r="B5" s="5" t="s">
        <v>649</v>
      </c>
    </row>
    <row r="6" customFormat="false" ht="20.85" hidden="false" customHeight="false" outlineLevel="0" collapsed="false">
      <c r="A6" s="9" t="s">
        <v>651</v>
      </c>
      <c r="B6" s="5" t="s">
        <v>652</v>
      </c>
    </row>
    <row r="8" customFormat="false" ht="15" hidden="false" customHeight="true" outlineLevel="0" collapsed="false">
      <c r="A8" s="6" t="s">
        <v>653</v>
      </c>
      <c r="B8" s="6"/>
      <c r="C8" s="6"/>
      <c r="D8" s="6"/>
      <c r="E8" s="6"/>
    </row>
    <row r="9" customFormat="false" ht="15" hidden="false" customHeight="false" outlineLevel="0" collapsed="false">
      <c r="A9" s="4" t="s">
        <v>207</v>
      </c>
      <c r="B9" s="4" t="s">
        <v>654</v>
      </c>
      <c r="C9" s="4" t="s">
        <v>655</v>
      </c>
      <c r="D9" s="4" t="s">
        <v>656</v>
      </c>
      <c r="E9" s="4" t="s">
        <v>24</v>
      </c>
    </row>
    <row r="10" customFormat="false" ht="15" hidden="false" customHeight="false" outlineLevel="0" collapsed="false">
      <c r="A10" s="5" t="s">
        <v>657</v>
      </c>
      <c r="B10" s="5" t="s">
        <v>658</v>
      </c>
      <c r="C10" s="5" t="s">
        <v>659</v>
      </c>
      <c r="D10" s="5" t="s">
        <v>660</v>
      </c>
      <c r="E10" s="5"/>
    </row>
    <row r="11" customFormat="false" ht="15" hidden="false" customHeight="false" outlineLevel="0" collapsed="false">
      <c r="A11" s="5" t="s">
        <v>657</v>
      </c>
      <c r="B11" s="5"/>
      <c r="C11" s="5" t="s">
        <v>661</v>
      </c>
      <c r="D11" s="5" t="s">
        <v>662</v>
      </c>
      <c r="E11" s="5"/>
    </row>
    <row r="12" customFormat="false" ht="15" hidden="false" customHeight="false" outlineLevel="0" collapsed="false">
      <c r="A12" s="5" t="s">
        <v>657</v>
      </c>
      <c r="B12" s="5"/>
      <c r="C12" s="5" t="s">
        <v>663</v>
      </c>
      <c r="D12" s="5" t="s">
        <v>664</v>
      </c>
      <c r="E12" s="5"/>
    </row>
    <row r="13" customFormat="false" ht="15" hidden="false" customHeight="false" outlineLevel="0" collapsed="false">
      <c r="A13" s="5" t="s">
        <v>657</v>
      </c>
      <c r="B13" s="5"/>
      <c r="C13" s="5"/>
      <c r="D13" s="5" t="s">
        <v>665</v>
      </c>
      <c r="E13" s="5"/>
    </row>
  </sheetData>
  <mergeCells count="3">
    <mergeCell ref="A1:E1"/>
    <mergeCell ref="A3:E3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0"/>
    <col collapsed="false" customWidth="true" hidden="false" outlineLevel="0" max="4" min="4" style="0" width="28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666</v>
      </c>
      <c r="B1" s="1"/>
      <c r="C1" s="1"/>
      <c r="D1" s="1"/>
      <c r="E1" s="1"/>
    </row>
    <row r="3" customFormat="false" ht="15" hidden="false" customHeight="false" outlineLevel="0" collapsed="false">
      <c r="A3" s="9" t="s">
        <v>667</v>
      </c>
      <c r="B3" s="10" t="s">
        <v>36</v>
      </c>
    </row>
    <row r="5" customFormat="false" ht="15" hidden="false" customHeight="true" outlineLevel="0" collapsed="false">
      <c r="A5" s="6" t="s">
        <v>668</v>
      </c>
      <c r="B5" s="6"/>
      <c r="C5" s="6"/>
      <c r="D5" s="6"/>
      <c r="E5" s="6"/>
    </row>
    <row r="6" customFormat="false" ht="15" hidden="false" customHeight="false" outlineLevel="0" collapsed="false">
      <c r="A6" s="7" t="s">
        <v>669</v>
      </c>
      <c r="B6" s="5" t="str">
        <f aca="false">IFERROR(IF(VLOOKUP($B$3,Clientes!$A$3:$M$202,2,FALSE())="","",VLOOKUP($B$3,Clientes!$A$3:$M$202,2,FALSE())),"")</f>
        <v>ACTOPAN AGUA</v>
      </c>
      <c r="C6" s="5"/>
      <c r="D6" s="5"/>
      <c r="E6" s="5"/>
    </row>
    <row r="7" customFormat="false" ht="15" hidden="false" customHeight="false" outlineLevel="0" collapsed="false">
      <c r="A7" s="7" t="s">
        <v>670</v>
      </c>
      <c r="B7" s="5" t="str">
        <f aca="false">IFERROR(IF(VLOOKUP($B$3,Clientes!$A$3:$M$202,3,FALSE())="","",VLOOKUP($B$3,Clientes!$A$3:$M$202,3,FALSE())),"")</f>
        <v>Comisión de Agua y alcantarillado de Actopán, Hidalgo</v>
      </c>
      <c r="C7" s="5"/>
      <c r="D7" s="5"/>
      <c r="E7" s="5"/>
    </row>
    <row r="8" customFormat="false" ht="15" hidden="false" customHeight="false" outlineLevel="0" collapsed="false">
      <c r="A8" s="7" t="s">
        <v>15</v>
      </c>
      <c r="B8" s="5" t="str">
        <f aca="false">IFERROR(IF(VLOOKUP($B$3,Clientes!$A$3:$M$202,4,FALSE())="","",VLOOKUP($B$3,Clientes!$A$3:$M$202,4,FALSE())),"")</f>
        <v>CAA930101333</v>
      </c>
      <c r="C8" s="5"/>
      <c r="D8" s="5"/>
      <c r="E8" s="5"/>
    </row>
    <row r="9" customFormat="false" ht="15" hidden="false" customHeight="false" outlineLevel="0" collapsed="false">
      <c r="A9" s="7" t="s">
        <v>16</v>
      </c>
      <c r="B9" s="5" t="str">
        <f aca="false">IFERROR(IF(VLOOKUP($B$3,Clientes!$A$3:$M$202,5,FALSE())="","",VLOOKUP($B$3,Clientes!$A$3:$M$202,5,FALSE())),"")</f>
        <v>Gris CAASA</v>
      </c>
      <c r="C9" s="5"/>
      <c r="D9" s="5"/>
      <c r="E9" s="5"/>
    </row>
    <row r="10" customFormat="false" ht="15" hidden="false" customHeight="false" outlineLevel="0" collapsed="false">
      <c r="A10" s="7" t="s">
        <v>671</v>
      </c>
      <c r="B10" s="5" t="str">
        <f aca="false">IFERROR(IF(VLOOKUP($B$3,Clientes!$A$3:$M$202,6,FALSE())="","",VLOOKUP($B$3,Clientes!$A$3:$M$202,6,FALSE())),"")</f>
        <v>7721016818</v>
      </c>
      <c r="C10" s="5"/>
      <c r="D10" s="5"/>
      <c r="E10" s="5"/>
    </row>
    <row r="11" customFormat="false" ht="15" hidden="false" customHeight="false" outlineLevel="0" collapsed="false">
      <c r="A11" s="7" t="s">
        <v>18</v>
      </c>
      <c r="B11" s="5" t="str">
        <f aca="false">IFERROR(IF(VLOOKUP($B$3,Clientes!$A$3:$M$202,7,FALSE())="","",VLOOKUP($B$3,Clientes!$A$3:$M$202,7,FALSE())),"")</f>
        <v>comaguactopan@yahoo.com.mx</v>
      </c>
      <c r="C11" s="5"/>
      <c r="D11" s="5"/>
      <c r="E11" s="5"/>
    </row>
    <row r="12" customFormat="false" ht="15" hidden="false" customHeight="false" outlineLevel="0" collapsed="false">
      <c r="A12" s="7" t="s">
        <v>672</v>
      </c>
      <c r="B12" s="5" t="str">
        <f aca="false">IFERROR(IF(VLOOKUP($B$3,Clientes!$A$3:$M$202,8,FALSE())="","",VLOOKUP($B$3,Clientes!$A$3:$M$202,8,FALSE())),"")</f>
        <v/>
      </c>
      <c r="C12" s="5"/>
      <c r="D12" s="5"/>
      <c r="E12" s="5"/>
    </row>
    <row r="13" customFormat="false" ht="15" hidden="false" customHeight="false" outlineLevel="0" collapsed="false">
      <c r="A13" s="7" t="s">
        <v>22</v>
      </c>
      <c r="B13" s="5" t="str">
        <f aca="false">IFERROR(IF(VLOOKUP($B$3,Clientes!$A$3:$M$202,11,FALSE())="","",VLOOKUP($B$3,Clientes!$A$3:$M$202,11,FALSE())),"")</f>
        <v>Activo</v>
      </c>
      <c r="C13" s="5"/>
      <c r="D13" s="5"/>
      <c r="E13" s="5"/>
    </row>
    <row r="15" customFormat="false" ht="15" hidden="false" customHeight="true" outlineLevel="0" collapsed="false">
      <c r="A15" s="6" t="s">
        <v>673</v>
      </c>
      <c r="B15" s="6"/>
      <c r="C15" s="6"/>
      <c r="D15" s="6"/>
      <c r="E15" s="6"/>
    </row>
    <row r="16" customFormat="false" ht="15" hidden="false" customHeight="false" outlineLevel="0" collapsed="false">
      <c r="A16" s="4" t="s">
        <v>207</v>
      </c>
      <c r="B16" s="4" t="s">
        <v>674</v>
      </c>
      <c r="C16" s="4" t="s">
        <v>210</v>
      </c>
      <c r="D16" s="4" t="s">
        <v>211</v>
      </c>
      <c r="E16" s="4" t="s">
        <v>24</v>
      </c>
    </row>
    <row r="17" customFormat="false" ht="15" hidden="false" customHeight="false" outlineLevel="0" collapsed="false">
      <c r="A17" s="5" t="str">
        <f aca="false">IFERROR(IF(INDEX(AccesosRemotos!C:C,SMALL(IF(AccesosRemotos!$A$3:$A$1000=$B$3,ROW(AccesosRemotos!$A$3:$A$1000)),1))="","",INDEX(AccesosRemotos!C:C,SMALL(IF(AccesosRemotos!$A$3:$A$1000=$B$3,ROW(AccesosRemotos!$A$3:$A$1000)),1))),"")</f>
        <v>RustDesk</v>
      </c>
      <c r="B17" s="5" t="str">
        <f aca="false">IFERROR(IF(INDEX(AccesosRemotos!E:E,SMALL(IF(AccesosRemotos!$A$3:$A$1000=$B$3,ROW(AccesosRemotos!$A$3:$A$1000)),1))="","",INDEX(AccesosRemotos!E:E,SMALL(IF(AccesosRemotos!$A$3:$A$1000=$B$3,ROW(AccesosRemotos!$A$3:$A$1000)),1))),"")</f>
        <v>LAPTOP - CAJA MOVIL</v>
      </c>
      <c r="C17" s="5" t="str">
        <f aca="false">IFERROR(IF(INDEX(AccesosRemotos!F:F,SMALL(IF(AccesosRemotos!$A$3:$A$1000=$B$3,ROW(AccesosRemotos!$A$3:$A$1000)),1))="","",INDEX(AccesosRemotos!F:F,SMALL(IF(AccesosRemotos!$A$3:$A$1000=$B$3,ROW(AccesosRemotos!$A$3:$A$1000)),1))),"")</f>
        <v>54 631 371</v>
      </c>
      <c r="D17" s="5" t="str">
        <f aca="false">IFERROR(IF(INDEX(AccesosRemotos!G:G,SMALL(IF(AccesosRemotos!$A$3:$A$1000=$B$3,ROW(AccesosRemotos!$A$3:$A$1000)),1))="","",INDEX(AccesosRemotos!G:G,SMALL(IF(AccesosRemotos!$A$3:$A$1000=$B$3,ROW(AccesosRemotos!$A$3:$A$1000)),1))),"")</f>
        <v/>
      </c>
      <c r="E17" s="5" t="str">
        <f aca="false">IFERROR(IF(INDEX(AccesosRemotos!H:H,SMALL(IF(AccesosRemotos!$A$3:$A$1000=$B$3,ROW(AccesosRemotos!$A$3:$A$1000)),1))="","",INDEX(AccesosRemotos!H:H,SMALL(IF(AccesosRemotos!$A$3:$A$1000=$B$3,ROW(AccesosRemotos!$A$3:$A$1000)),1))),"")</f>
        <v>MySQL: Gabriela@2018</v>
      </c>
    </row>
    <row r="18" customFormat="false" ht="15" hidden="false" customHeight="false" outlineLevel="0" collapsed="false">
      <c r="A18" s="5" t="str">
        <f aca="false">IFERROR(IF(INDEX(AccesosRemotos!C:C,SMALL(IF(AccesosRemotos!$A$3:$A$1000=$B$3,ROW(AccesosRemotos!$A$3:$A$1000)),2))="","",INDEX(AccesosRemotos!C:C,SMALL(IF(AccesosRemotos!$A$3:$A$1000=$B$3,ROW(AccesosRemotos!$A$3:$A$1000)),2))),"")</f>
        <v>RustDesk</v>
      </c>
      <c r="B18" s="5" t="str">
        <f aca="false">IFERROR(IF(INDEX(AccesosRemotos!E:E,SMALL(IF(AccesosRemotos!$A$3:$A$1000=$B$3,ROW(AccesosRemotos!$A$3:$A$1000)),2))="","",INDEX(AccesosRemotos!E:E,SMALL(IF(AccesosRemotos!$A$3:$A$1000=$B$3,ROW(AccesosRemotos!$A$3:$A$1000)),2))),"")</f>
        <v>SERVER</v>
      </c>
      <c r="C18" s="5" t="str">
        <f aca="false">IFERROR(IF(INDEX(AccesosRemotos!F:F,SMALL(IF(AccesosRemotos!$A$3:$A$1000=$B$3,ROW(AccesosRemotos!$A$3:$A$1000)),2))="","",INDEX(AccesosRemotos!F:F,SMALL(IF(AccesosRemotos!$A$3:$A$1000=$B$3,ROW(AccesosRemotos!$A$3:$A$1000)),2))),"")</f>
        <v>22 464 940</v>
      </c>
      <c r="D18" s="5" t="str">
        <f aca="false">IFERROR(IF(INDEX(AccesosRemotos!G:G,SMALL(IF(AccesosRemotos!$A$3:$A$1000=$B$3,ROW(AccesosRemotos!$A$3:$A$1000)),2))="","",INDEX(AccesosRemotos!G:G,SMALL(IF(AccesosRemotos!$A$3:$A$1000=$B$3,ROW(AccesosRemotos!$A$3:$A$1000)),2))),"")</f>
        <v/>
      </c>
      <c r="E18" s="5" t="str">
        <f aca="false">IFERROR(IF(INDEX(AccesosRemotos!H:H,SMALL(IF(AccesosRemotos!$A$3:$A$1000=$B$3,ROW(AccesosRemotos!$A$3:$A$1000)),2))="","",INDEX(AccesosRemotos!H:H,SMALL(IF(AccesosRemotos!$A$3:$A$1000=$B$3,ROW(AccesosRemotos!$A$3:$A$1000)),2))),"")</f>
        <v>MySQL: Gabriela2018</v>
      </c>
    </row>
    <row r="19" customFormat="false" ht="15" hidden="false" customHeight="false" outlineLevel="0" collapsed="false">
      <c r="A19" s="5" t="str">
        <f aca="false">IFERROR(IF(INDEX(AccesosRemotos!C:C,SMALL(IF(AccesosRemotos!$A$3:$A$1000=$B$3,ROW(AccesosRemotos!$A$3:$A$1000)),3))="","",INDEX(AccesosRemotos!C:C,SMALL(IF(AccesosRemotos!$A$3:$A$1000=$B$3,ROW(AccesosRemotos!$A$3:$A$1000)),3))),"")</f>
        <v>AnyDesk</v>
      </c>
      <c r="B19" s="5" t="str">
        <f aca="false">IFERROR(IF(INDEX(AccesosRemotos!E:E,SMALL(IF(AccesosRemotos!$A$3:$A$1000=$B$3,ROW(AccesosRemotos!$A$3:$A$1000)),3))="","",INDEX(AccesosRemotos!E:E,SMALL(IF(AccesosRemotos!$A$3:$A$1000=$B$3,ROW(AccesosRemotos!$A$3:$A$1000)),3))),"")</f>
        <v>SERVIDOR COMUNIDADES</v>
      </c>
      <c r="C19" s="5" t="str">
        <f aca="false">IFERROR(IF(INDEX(AccesosRemotos!F:F,SMALL(IF(AccesosRemotos!$A$3:$A$1000=$B$3,ROW(AccesosRemotos!$A$3:$A$1000)),3))="","",INDEX(AccesosRemotos!F:F,SMALL(IF(AccesosRemotos!$A$3:$A$1000=$B$3,ROW(AccesosRemotos!$A$3:$A$1000)),3))),"")</f>
        <v>1835791957</v>
      </c>
      <c r="D19" s="5" t="str">
        <f aca="false">IFERROR(IF(INDEX(AccesosRemotos!G:G,SMALL(IF(AccesosRemotos!$A$3:$A$1000=$B$3,ROW(AccesosRemotos!$A$3:$A$1000)),3))="","",INDEX(AccesosRemotos!G:G,SMALL(IF(AccesosRemotos!$A$3:$A$1000=$B$3,ROW(AccesosRemotos!$A$3:$A$1000)),3))),"")</f>
        <v/>
      </c>
      <c r="E19" s="5" t="str">
        <f aca="false">IFERROR(IF(INDEX(AccesosRemotos!H:H,SMALL(IF(AccesosRemotos!$A$3:$A$1000=$B$3,ROW(AccesosRemotos!$A$3:$A$1000)),3))="","",INDEX(AccesosRemotos!H:H,SMALL(IF(AccesosRemotos!$A$3:$A$1000=$B$3,ROW(AccesosRemotos!$A$3:$A$1000)),3))),"")</f>
        <v/>
      </c>
    </row>
    <row r="20" customFormat="false" ht="15" hidden="false" customHeight="false" outlineLevel="0" collapsed="false">
      <c r="A20" s="5" t="str">
        <f aca="false">IFERROR(IF(INDEX(AccesosRemotos!C:C,SMALL(IF(AccesosRemotos!$A$3:$A$1000=$B$3,ROW(AccesosRemotos!$A$3:$A$1000)),4))="","",INDEX(AccesosRemotos!C:C,SMALL(IF(AccesosRemotos!$A$3:$A$1000=$B$3,ROW(AccesosRemotos!$A$3:$A$1000)),4))),"")</f>
        <v>RustDesk</v>
      </c>
      <c r="B20" s="5" t="str">
        <f aca="false">IFERROR(IF(INDEX(AccesosRemotos!E:E,SMALL(IF(AccesosRemotos!$A$3:$A$1000=$B$3,ROW(AccesosRemotos!$A$3:$A$1000)),4))="","",INDEX(AccesosRemotos!E:E,SMALL(IF(AccesosRemotos!$A$3:$A$1000=$B$3,ROW(AccesosRemotos!$A$3:$A$1000)),4))),"")</f>
        <v>SERVIDOR COMUNIDADES</v>
      </c>
      <c r="C20" s="5" t="str">
        <f aca="false">IFERROR(IF(INDEX(AccesosRemotos!F:F,SMALL(IF(AccesosRemotos!$A$3:$A$1000=$B$3,ROW(AccesosRemotos!$A$3:$A$1000)),4))="","",INDEX(AccesosRemotos!F:F,SMALL(IF(AccesosRemotos!$A$3:$A$1000=$B$3,ROW(AccesosRemotos!$A$3:$A$1000)),4))),"")</f>
        <v>54 631 371</v>
      </c>
      <c r="D20" s="5" t="str">
        <f aca="false">IFERROR(IF(INDEX(AccesosRemotos!G:G,SMALL(IF(AccesosRemotos!$A$3:$A$1000=$B$3,ROW(AccesosRemotos!$A$3:$A$1000)),4))="","",INDEX(AccesosRemotos!G:G,SMALL(IF(AccesosRemotos!$A$3:$A$1000=$B$3,ROW(AccesosRemotos!$A$3:$A$1000)),4))),"")</f>
        <v/>
      </c>
      <c r="E20" s="5" t="str">
        <f aca="false">IFERROR(IF(INDEX(AccesosRemotos!H:H,SMALL(IF(AccesosRemotos!$A$3:$A$1000=$B$3,ROW(AccesosRemotos!$A$3:$A$1000)),4))="","",INDEX(AccesosRemotos!H:H,SMALL(IF(AccesosRemotos!$A$3:$A$1000=$B$3,ROW(AccesosRemotos!$A$3:$A$1000)),4))),"")</f>
        <v/>
      </c>
    </row>
    <row r="21" customFormat="false" ht="15" hidden="false" customHeight="false" outlineLevel="0" collapsed="false">
      <c r="A21" s="5" t="str">
        <f aca="false">IFERROR(IF(INDEX(AccesosRemotos!C:C,SMALL(IF(AccesosRemotos!$A$3:$A$1000=$B$3,ROW(AccesosRemotos!$A$3:$A$1000)),5))="","",INDEX(AccesosRemotos!C:C,SMALL(IF(AccesosRemotos!$A$3:$A$1000=$B$3,ROW(AccesosRemotos!$A$3:$A$1000)),5))),"")</f>
        <v>AnyDesk</v>
      </c>
      <c r="B21" s="5" t="str">
        <f aca="false">IFERROR(IF(INDEX(AccesosRemotos!E:E,SMALL(IF(AccesosRemotos!$A$3:$A$1000=$B$3,ROW(AccesosRemotos!$A$3:$A$1000)),5))="","",INDEX(AccesosRemotos!E:E,SMALL(IF(AccesosRemotos!$A$3:$A$1000=$B$3,ROW(AccesosRemotos!$A$3:$A$1000)),5))),"")</f>
        <v>CAJA FIJA (TECOMATLAN)</v>
      </c>
      <c r="C21" s="5" t="str">
        <f aca="false">IFERROR(IF(INDEX(AccesosRemotos!F:F,SMALL(IF(AccesosRemotos!$A$3:$A$1000=$B$3,ROW(AccesosRemotos!$A$3:$A$1000)),5))="","",INDEX(AccesosRemotos!F:F,SMALL(IF(AccesosRemotos!$A$3:$A$1000=$B$3,ROW(AccesosRemotos!$A$3:$A$1000)),5))),"")</f>
        <v>1 616 631 904</v>
      </c>
      <c r="D21" s="5" t="str">
        <f aca="false">IFERROR(IF(INDEX(AccesosRemotos!G:G,SMALL(IF(AccesosRemotos!$A$3:$A$1000=$B$3,ROW(AccesosRemotos!$A$3:$A$1000)),5))="","",INDEX(AccesosRemotos!G:G,SMALL(IF(AccesosRemotos!$A$3:$A$1000=$B$3,ROW(AccesosRemotos!$A$3:$A$1000)),5))),"")</f>
        <v/>
      </c>
      <c r="E21" s="5" t="str">
        <f aca="false">IFERROR(IF(INDEX(AccesosRemotos!H:H,SMALL(IF(AccesosRemotos!$A$3:$A$1000=$B$3,ROW(AccesosRemotos!$A$3:$A$1000)),5))="","",INDEX(AccesosRemotos!H:H,SMALL(IF(AccesosRemotos!$A$3:$A$1000=$B$3,ROW(AccesosRemotos!$A$3:$A$1000)),5))),"")</f>
        <v/>
      </c>
    </row>
    <row r="22" customFormat="false" ht="15" hidden="false" customHeight="false" outlineLevel="0" collapsed="false">
      <c r="A22" s="5" t="str">
        <f aca="false">IFERROR(IF(INDEX(AccesosRemotos!C:C,SMALL(IF(AccesosRemotos!$A$3:$A$1000=$B$3,ROW(AccesosRemotos!$A$3:$A$1000)),6))="","",INDEX(AccesosRemotos!C:C,SMALL(IF(AccesosRemotos!$A$3:$A$1000=$B$3,ROW(AccesosRemotos!$A$3:$A$1000)),6))),"")</f>
        <v>RustDesk</v>
      </c>
      <c r="B22" s="5" t="str">
        <f aca="false">IFERROR(IF(INDEX(AccesosRemotos!E:E,SMALL(IF(AccesosRemotos!$A$3:$A$1000=$B$3,ROW(AccesosRemotos!$A$3:$A$1000)),6))="","",INDEX(AccesosRemotos!E:E,SMALL(IF(AccesosRemotos!$A$3:$A$1000=$B$3,ROW(AccesosRemotos!$A$3:$A$1000)),6))),"")</f>
        <v>CAJA FIJA (TECOMATLAN)</v>
      </c>
      <c r="C22" s="5" t="str">
        <f aca="false">IFERROR(IF(INDEX(AccesosRemotos!F:F,SMALL(IF(AccesosRemotos!$A$3:$A$1000=$B$3,ROW(AccesosRemotos!$A$3:$A$1000)),6))="","",INDEX(AccesosRemotos!F:F,SMALL(IF(AccesosRemotos!$A$3:$A$1000=$B$3,ROW(AccesosRemotos!$A$3:$A$1000)),6))),"")</f>
        <v>22 455 870</v>
      </c>
      <c r="D22" s="5" t="str">
        <f aca="false">IFERROR(IF(INDEX(AccesosRemotos!G:G,SMALL(IF(AccesosRemotos!$A$3:$A$1000=$B$3,ROW(AccesosRemotos!$A$3:$A$1000)),6))="","",INDEX(AccesosRemotos!G:G,SMALL(IF(AccesosRemotos!$A$3:$A$1000=$B$3,ROW(AccesosRemotos!$A$3:$A$1000)),6))),"")</f>
        <v/>
      </c>
      <c r="E22" s="5" t="str">
        <f aca="false">IFERROR(IF(INDEX(AccesosRemotos!H:H,SMALL(IF(AccesosRemotos!$A$3:$A$1000=$B$3,ROW(AccesosRemotos!$A$3:$A$1000)),6))="","",INDEX(AccesosRemotos!H:H,SMALL(IF(AccesosRemotos!$A$3:$A$1000=$B$3,ROW(AccesosRemotos!$A$3:$A$1000)),6))),"")</f>
        <v/>
      </c>
    </row>
    <row r="23" customFormat="false" ht="15" hidden="false" customHeight="false" outlineLevel="0" collapsed="false">
      <c r="A23" s="5" t="str">
        <f aca="false">IFERROR(IF(INDEX(AccesosRemotos!C:C,SMALL(IF(AccesosRemotos!$A$3:$A$1000=$B$3,ROW(AccesosRemotos!$A$3:$A$1000)),7))="","",INDEX(AccesosRemotos!C:C,SMALL(IF(AccesosRemotos!$A$3:$A$1000=$B$3,ROW(AccesosRemotos!$A$3:$A$1000)),7))),"")</f>
        <v>AnyDesk</v>
      </c>
      <c r="B23" s="5" t="str">
        <f aca="false">IFERROR(IF(INDEX(AccesosRemotos!E:E,SMALL(IF(AccesosRemotos!$A$3:$A$1000=$B$3,ROW(AccesosRemotos!$A$3:$A$1000)),7))="","",INDEX(AccesosRemotos!E:E,SMALL(IF(AccesosRemotos!$A$3:$A$1000=$B$3,ROW(AccesosRemotos!$A$3:$A$1000)),7))),"")</f>
        <v>CAJA FIJA (SANTIAGO)</v>
      </c>
      <c r="C23" s="5" t="str">
        <f aca="false">IFERROR(IF(INDEX(AccesosRemotos!F:F,SMALL(IF(AccesosRemotos!$A$3:$A$1000=$B$3,ROW(AccesosRemotos!$A$3:$A$1000)),7))="","",INDEX(AccesosRemotos!F:F,SMALL(IF(AccesosRemotos!$A$3:$A$1000=$B$3,ROW(AccesosRemotos!$A$3:$A$1000)),7))),"")</f>
        <v>1175112487</v>
      </c>
      <c r="D23" s="5" t="str">
        <f aca="false">IFERROR(IF(INDEX(AccesosRemotos!G:G,SMALL(IF(AccesosRemotos!$A$3:$A$1000=$B$3,ROW(AccesosRemotos!$A$3:$A$1000)),7))="","",INDEX(AccesosRemotos!G:G,SMALL(IF(AccesosRemotos!$A$3:$A$1000=$B$3,ROW(AccesosRemotos!$A$3:$A$1000)),7))),"")</f>
        <v/>
      </c>
      <c r="E23" s="5" t="str">
        <f aca="false">IFERROR(IF(INDEX(AccesosRemotos!H:H,SMALL(IF(AccesosRemotos!$A$3:$A$1000=$B$3,ROW(AccesosRemotos!$A$3:$A$1000)),7))="","",INDEX(AccesosRemotos!H:H,SMALL(IF(AccesosRemotos!$A$3:$A$1000=$B$3,ROW(AccesosRemotos!$A$3:$A$1000)),7))),"")</f>
        <v/>
      </c>
    </row>
    <row r="24" customFormat="false" ht="15" hidden="false" customHeight="false" outlineLevel="0" collapsed="false">
      <c r="A24" s="5" t="str">
        <f aca="false">IFERROR(IF(INDEX(AccesosRemotos!C:C,SMALL(IF(AccesosRemotos!$A$3:$A$1000=$B$3,ROW(AccesosRemotos!$A$3:$A$1000)),8))="","",INDEX(AccesosRemotos!C:C,SMALL(IF(AccesosRemotos!$A$3:$A$1000=$B$3,ROW(AccesosRemotos!$A$3:$A$1000)),8))),"")</f>
        <v>RustDesk</v>
      </c>
      <c r="B24" s="5" t="str">
        <f aca="false">IFERROR(IF(INDEX(AccesosRemotos!E:E,SMALL(IF(AccesosRemotos!$A$3:$A$1000=$B$3,ROW(AccesosRemotos!$A$3:$A$1000)),8))="","",INDEX(AccesosRemotos!E:E,SMALL(IF(AccesosRemotos!$A$3:$A$1000=$B$3,ROW(AccesosRemotos!$A$3:$A$1000)),8))),"")</f>
        <v>CAJA FIJA (SANTIAGO)</v>
      </c>
      <c r="C24" s="5" t="str">
        <f aca="false">IFERROR(IF(INDEX(AccesosRemotos!F:F,SMALL(IF(AccesosRemotos!$A$3:$A$1000=$B$3,ROW(AccesosRemotos!$A$3:$A$1000)),8))="","",INDEX(AccesosRemotos!F:F,SMALL(IF(AccesosRemotos!$A$3:$A$1000=$B$3,ROW(AccesosRemotos!$A$3:$A$1000)),8))),"")</f>
        <v>22 471 019</v>
      </c>
      <c r="D24" s="5" t="str">
        <f aca="false">IFERROR(IF(INDEX(AccesosRemotos!G:G,SMALL(IF(AccesosRemotos!$A$3:$A$1000=$B$3,ROW(AccesosRemotos!$A$3:$A$1000)),8))="","",INDEX(AccesosRemotos!G:G,SMALL(IF(AccesosRemotos!$A$3:$A$1000=$B$3,ROW(AccesosRemotos!$A$3:$A$1000)),8))),"")</f>
        <v/>
      </c>
      <c r="E24" s="5" t="str">
        <f aca="false">IFERROR(IF(INDEX(AccesosRemotos!H:H,SMALL(IF(AccesosRemotos!$A$3:$A$1000=$B$3,ROW(AccesosRemotos!$A$3:$A$1000)),8))="","",INDEX(AccesosRemotos!H:H,SMALL(IF(AccesosRemotos!$A$3:$A$1000=$B$3,ROW(AccesosRemotos!$A$3:$A$1000)),8))),"")</f>
        <v/>
      </c>
    </row>
    <row r="25" customFormat="false" ht="15" hidden="false" customHeight="false" outlineLevel="0" collapsed="false">
      <c r="A25" s="5" t="str">
        <f aca="false">IFERROR(IF(INDEX(AccesosRemotos!C:C,SMALL(IF(AccesosRemotos!$A$3:$A$1000=$B$3,ROW(AccesosRemotos!$A$3:$A$1000)),9))="","",INDEX(AccesosRemotos!C:C,SMALL(IF(AccesosRemotos!$A$3:$A$1000=$B$3,ROW(AccesosRemotos!$A$3:$A$1000)),9))),"")</f>
        <v>AnyDesk</v>
      </c>
      <c r="B25" s="5" t="str">
        <f aca="false">IFERROR(IF(INDEX(AccesosRemotos!E:E,SMALL(IF(AccesosRemotos!$A$3:$A$1000=$B$3,ROW(AccesosRemotos!$A$3:$A$1000)),9))="","",INDEX(AccesosRemotos!E:E,SMALL(IF(AccesosRemotos!$A$3:$A$1000=$B$3,ROW(AccesosRemotos!$A$3:$A$1000)),9))),"")</f>
        <v>JOSELINE</v>
      </c>
      <c r="C25" s="5" t="str">
        <f aca="false">IFERROR(IF(INDEX(AccesosRemotos!F:F,SMALL(IF(AccesosRemotos!$A$3:$A$1000=$B$3,ROW(AccesosRemotos!$A$3:$A$1000)),9))="","",INDEX(AccesosRemotos!F:F,SMALL(IF(AccesosRemotos!$A$3:$A$1000=$B$3,ROW(AccesosRemotos!$A$3:$A$1000)),9))),"")</f>
        <v>1 805 331 651</v>
      </c>
      <c r="D25" s="5" t="str">
        <f aca="false">IFERROR(IF(INDEX(AccesosRemotos!G:G,SMALL(IF(AccesosRemotos!$A$3:$A$1000=$B$3,ROW(AccesosRemotos!$A$3:$A$1000)),9))="","",INDEX(AccesosRemotos!G:G,SMALL(IF(AccesosRemotos!$A$3:$A$1000=$B$3,ROW(AccesosRemotos!$A$3:$A$1000)),9))),"")</f>
        <v/>
      </c>
      <c r="E25" s="5" t="str">
        <f aca="false">IFERROR(IF(INDEX(AccesosRemotos!H:H,SMALL(IF(AccesosRemotos!$A$3:$A$1000=$B$3,ROW(AccesosRemotos!$A$3:$A$1000)),9))="","",INDEX(AccesosRemotos!H:H,SMALL(IF(AccesosRemotos!$A$3:$A$1000=$B$3,ROW(AccesosRemotos!$A$3:$A$1000)),9))),"")</f>
        <v/>
      </c>
    </row>
    <row r="26" customFormat="false" ht="15" hidden="false" customHeight="false" outlineLevel="0" collapsed="false">
      <c r="A26" s="5" t="str">
        <f aca="false">IFERROR(IF(INDEX(AccesosRemotos!C:C,SMALL(IF(AccesosRemotos!$A$3:$A$1000=$B$3,ROW(AccesosRemotos!$A$3:$A$1000)),10))="","",INDEX(AccesosRemotos!C:C,SMALL(IF(AccesosRemotos!$A$3:$A$1000=$B$3,ROW(AccesosRemotos!$A$3:$A$1000)),10))),"")</f>
        <v>RustDesk</v>
      </c>
      <c r="B26" s="5" t="str">
        <f aca="false">IFERROR(IF(INDEX(AccesosRemotos!E:E,SMALL(IF(AccesosRemotos!$A$3:$A$1000=$B$3,ROW(AccesosRemotos!$A$3:$A$1000)),10))="","",INDEX(AccesosRemotos!E:E,SMALL(IF(AccesosRemotos!$A$3:$A$1000=$B$3,ROW(AccesosRemotos!$A$3:$A$1000)),10))),"")</f>
        <v>JOSELINE</v>
      </c>
      <c r="C26" s="5" t="str">
        <f aca="false">IFERROR(IF(INDEX(AccesosRemotos!F:F,SMALL(IF(AccesosRemotos!$A$3:$A$1000=$B$3,ROW(AccesosRemotos!$A$3:$A$1000)),10))="","",INDEX(AccesosRemotos!F:F,SMALL(IF(AccesosRemotos!$A$3:$A$1000=$B$3,ROW(AccesosRemotos!$A$3:$A$1000)),10))),"")</f>
        <v>252 153 309</v>
      </c>
      <c r="D26" s="5" t="str">
        <f aca="false">IFERROR(IF(INDEX(AccesosRemotos!G:G,SMALL(IF(AccesosRemotos!$A$3:$A$1000=$B$3,ROW(AccesosRemotos!$A$3:$A$1000)),10))="","",INDEX(AccesosRemotos!G:G,SMALL(IF(AccesosRemotos!$A$3:$A$1000=$B$3,ROW(AccesosRemotos!$A$3:$A$1000)),10))),"")</f>
        <v/>
      </c>
      <c r="E26" s="5" t="str">
        <f aca="false">IFERROR(IF(INDEX(AccesosRemotos!H:H,SMALL(IF(AccesosRemotos!$A$3:$A$1000=$B$3,ROW(AccesosRemotos!$A$3:$A$1000)),10))="","",INDEX(AccesosRemotos!H:H,SMALL(IF(AccesosRemotos!$A$3:$A$1000=$B$3,ROW(AccesosRemotos!$A$3:$A$1000)),10))),"")</f>
        <v/>
      </c>
    </row>
    <row r="27" customFormat="false" ht="15" hidden="false" customHeight="false" outlineLevel="0" collapsed="false">
      <c r="A27" s="5" t="str">
        <f aca="false">IFERROR(IF(INDEX(AccesosRemotos!C:C,SMALL(IF(AccesosRemotos!$A$3:$A$1000=$B$3,ROW(AccesosRemotos!$A$3:$A$1000)),11))="","",INDEX(AccesosRemotos!C:C,SMALL(IF(AccesosRemotos!$A$3:$A$1000=$B$3,ROW(AccesosRemotos!$A$3:$A$1000)),11))),"")</f>
        <v>AnyDesk</v>
      </c>
      <c r="B27" s="5" t="str">
        <f aca="false">IFERROR(IF(INDEX(AccesosRemotos!E:E,SMALL(IF(AccesosRemotos!$A$3:$A$1000=$B$3,ROW(AccesosRemotos!$A$3:$A$1000)),11))="","",INDEX(AccesosRemotos!E:E,SMALL(IF(AccesosRemotos!$A$3:$A$1000=$B$3,ROW(AccesosRemotos!$A$3:$A$1000)),11))),"")</f>
        <v>AREA COMERCIAL(NELLY)</v>
      </c>
      <c r="C27" s="5" t="str">
        <f aca="false">IFERROR(IF(INDEX(AccesosRemotos!F:F,SMALL(IF(AccesosRemotos!$A$3:$A$1000=$B$3,ROW(AccesosRemotos!$A$3:$A$1000)),11))="","",INDEX(AccesosRemotos!F:F,SMALL(IF(AccesosRemotos!$A$3:$A$1000=$B$3,ROW(AccesosRemotos!$A$3:$A$1000)),11))),"")</f>
        <v>1703322057</v>
      </c>
      <c r="D27" s="5" t="str">
        <f aca="false">IFERROR(IF(INDEX(AccesosRemotos!G:G,SMALL(IF(AccesosRemotos!$A$3:$A$1000=$B$3,ROW(AccesosRemotos!$A$3:$A$1000)),11))="","",INDEX(AccesosRemotos!G:G,SMALL(IF(AccesosRemotos!$A$3:$A$1000=$B$3,ROW(AccesosRemotos!$A$3:$A$1000)),11))),"")</f>
        <v/>
      </c>
      <c r="E27" s="5" t="str">
        <f aca="false">IFERROR(IF(INDEX(AccesosRemotos!H:H,SMALL(IF(AccesosRemotos!$A$3:$A$1000=$B$3,ROW(AccesosRemotos!$A$3:$A$1000)),11))="","",INDEX(AccesosRemotos!H:H,SMALL(IF(AccesosRemotos!$A$3:$A$1000=$B$3,ROW(AccesosRemotos!$A$3:$A$1000)),11))),"")</f>
        <v/>
      </c>
    </row>
    <row r="28" customFormat="false" ht="15" hidden="false" customHeight="false" outlineLevel="0" collapsed="false">
      <c r="A28" s="5" t="str">
        <f aca="false">IFERROR(IF(INDEX(AccesosRemotos!C:C,SMALL(IF(AccesosRemotos!$A$3:$A$1000=$B$3,ROW(AccesosRemotos!$A$3:$A$1000)),12))="","",INDEX(AccesosRemotos!C:C,SMALL(IF(AccesosRemotos!$A$3:$A$1000=$B$3,ROW(AccesosRemotos!$A$3:$A$1000)),12))),"")</f>
        <v>RustDesk</v>
      </c>
      <c r="B28" s="5" t="str">
        <f aca="false">IFERROR(IF(INDEX(AccesosRemotos!E:E,SMALL(IF(AccesosRemotos!$A$3:$A$1000=$B$3,ROW(AccesosRemotos!$A$3:$A$1000)),12))="","",INDEX(AccesosRemotos!E:E,SMALL(IF(AccesosRemotos!$A$3:$A$1000=$B$3,ROW(AccesosRemotos!$A$3:$A$1000)),12))),"")</f>
        <v>AREA COMERCIAL(NELLY)</v>
      </c>
      <c r="C28" s="5" t="str">
        <f aca="false">IFERROR(IF(INDEX(AccesosRemotos!F:F,SMALL(IF(AccesosRemotos!$A$3:$A$1000=$B$3,ROW(AccesosRemotos!$A$3:$A$1000)),12))="","",INDEX(AccesosRemotos!F:F,SMALL(IF(AccesosRemotos!$A$3:$A$1000=$B$3,ROW(AccesosRemotos!$A$3:$A$1000)),12))),"")</f>
        <v>251 783 645</v>
      </c>
      <c r="D28" s="5" t="str">
        <f aca="false">IFERROR(IF(INDEX(AccesosRemotos!G:G,SMALL(IF(AccesosRemotos!$A$3:$A$1000=$B$3,ROW(AccesosRemotos!$A$3:$A$1000)),12))="","",INDEX(AccesosRemotos!G:G,SMALL(IF(AccesosRemotos!$A$3:$A$1000=$B$3,ROW(AccesosRemotos!$A$3:$A$1000)),12))),"")</f>
        <v/>
      </c>
      <c r="E28" s="5" t="str">
        <f aca="false">IFERROR(IF(INDEX(AccesosRemotos!H:H,SMALL(IF(AccesosRemotos!$A$3:$A$1000=$B$3,ROW(AccesosRemotos!$A$3:$A$1000)),12))="","",INDEX(AccesosRemotos!H:H,SMALL(IF(AccesosRemotos!$A$3:$A$1000=$B$3,ROW(AccesosRemotos!$A$3:$A$1000)),12))),"")</f>
        <v/>
      </c>
    </row>
    <row r="29" customFormat="false" ht="15" hidden="false" customHeight="false" outlineLevel="0" collapsed="false">
      <c r="A29" s="5" t="str">
        <f aca="false">IFERROR(IF(INDEX(AccesosRemotos!C:C,SMALL(IF(AccesosRemotos!$A$3:$A$1000=$B$3,ROW(AccesosRemotos!$A$3:$A$1000)),13))="","",INDEX(AccesosRemotos!C:C,SMALL(IF(AccesosRemotos!$A$3:$A$1000=$B$3,ROW(AccesosRemotos!$A$3:$A$1000)),13))),"")</f>
        <v>RustDesk</v>
      </c>
      <c r="B29" s="5" t="str">
        <f aca="false">IFERROR(IF(INDEX(AccesosRemotos!E:E,SMALL(IF(AccesosRemotos!$A$3:$A$1000=$B$3,ROW(AccesosRemotos!$A$3:$A$1000)),13))="","",INDEX(AccesosRemotos!E:E,SMALL(IF(AccesosRemotos!$A$3:$A$1000=$B$3,ROW(AccesosRemotos!$A$3:$A$1000)),13))),"")</f>
        <v>DIRECTOR</v>
      </c>
      <c r="C29" s="5" t="str">
        <f aca="false">IFERROR(IF(INDEX(AccesosRemotos!F:F,SMALL(IF(AccesosRemotos!$A$3:$A$1000=$B$3,ROW(AccesosRemotos!$A$3:$A$1000)),13))="","",INDEX(AccesosRemotos!F:F,SMALL(IF(AccesosRemotos!$A$3:$A$1000=$B$3,ROW(AccesosRemotos!$A$3:$A$1000)),13))),"")</f>
        <v>36 246 498</v>
      </c>
      <c r="D29" s="5" t="str">
        <f aca="false">IFERROR(IF(INDEX(AccesosRemotos!G:G,SMALL(IF(AccesosRemotos!$A$3:$A$1000=$B$3,ROW(AccesosRemotos!$A$3:$A$1000)),13))="","",INDEX(AccesosRemotos!G:G,SMALL(IF(AccesosRemotos!$A$3:$A$1000=$B$3,ROW(AccesosRemotos!$A$3:$A$1000)),13))),"")</f>
        <v/>
      </c>
      <c r="E29" s="5" t="str">
        <f aca="false">IFERROR(IF(INDEX(AccesosRemotos!H:H,SMALL(IF(AccesosRemotos!$A$3:$A$1000=$B$3,ROW(AccesosRemotos!$A$3:$A$1000)),13))="","",INDEX(AccesosRemotos!H:H,SMALL(IF(AccesosRemotos!$A$3:$A$1000=$B$3,ROW(AccesosRemotos!$A$3:$A$1000)),13))),"")</f>
        <v/>
      </c>
    </row>
    <row r="30" customFormat="false" ht="15" hidden="false" customHeight="false" outlineLevel="0" collapsed="false">
      <c r="A30" s="5" t="str">
        <f aca="false">IFERROR(IF(INDEX(AccesosRemotos!C:C,SMALL(IF(AccesosRemotos!$A$3:$A$1000=$B$3,ROW(AccesosRemotos!$A$3:$A$1000)),14))="","",INDEX(AccesosRemotos!C:C,SMALL(IF(AccesosRemotos!$A$3:$A$1000=$B$3,ROW(AccesosRemotos!$A$3:$A$1000)),14))),"")</f>
        <v>AnyDesk</v>
      </c>
      <c r="B30" s="5" t="str">
        <f aca="false">IFERROR(IF(INDEX(AccesosRemotos!E:E,SMALL(IF(AccesosRemotos!$A$3:$A$1000=$B$3,ROW(AccesosRemotos!$A$3:$A$1000)),14))="","",INDEX(AccesosRemotos!E:E,SMALL(IF(AccesosRemotos!$A$3:$A$1000=$B$3,ROW(AccesosRemotos!$A$3:$A$1000)),14))),"")</f>
        <v>LAPTOP - CAJA MOVIL</v>
      </c>
      <c r="C30" s="5" t="str">
        <f aca="false">IFERROR(IF(INDEX(AccesosRemotos!F:F,SMALL(IF(AccesosRemotos!$A$3:$A$1000=$B$3,ROW(AccesosRemotos!$A$3:$A$1000)),14))="","",INDEX(AccesosRemotos!F:F,SMALL(IF(AccesosRemotos!$A$3:$A$1000=$B$3,ROW(AccesosRemotos!$A$3:$A$1000)),14))),"")</f>
        <v>1 835 791 957</v>
      </c>
      <c r="D30" s="5" t="str">
        <f aca="false">IFERROR(IF(INDEX(AccesosRemotos!G:G,SMALL(IF(AccesosRemotos!$A$3:$A$1000=$B$3,ROW(AccesosRemotos!$A$3:$A$1000)),14))="","",INDEX(AccesosRemotos!G:G,SMALL(IF(AccesosRemotos!$A$3:$A$1000=$B$3,ROW(AccesosRemotos!$A$3:$A$1000)),14))),"")</f>
        <v/>
      </c>
      <c r="E30" s="5" t="str">
        <f aca="false">IFERROR(IF(INDEX(AccesosRemotos!H:H,SMALL(IF(AccesosRemotos!$A$3:$A$1000=$B$3,ROW(AccesosRemotos!$A$3:$A$1000)),14))="","",INDEX(AccesosRemotos!H:H,SMALL(IF(AccesosRemotos!$A$3:$A$1000=$B$3,ROW(AccesosRemotos!$A$3:$A$1000)),14))),"")</f>
        <v>MySQL: Gabriela@2018</v>
      </c>
    </row>
    <row r="31" customFormat="false" ht="15" hidden="false" customHeight="false" outlineLevel="0" collapsed="false">
      <c r="A31" s="5" t="str">
        <f aca="false">IFERROR(IF(INDEX(AccesosRemotos!C:C,SMALL(IF(AccesosRemotos!$A$3:$A$1000=$B$3,ROW(AccesosRemotos!$A$3:$A$1000)),15))="","",INDEX(AccesosRemotos!C:C,SMALL(IF(AccesosRemotos!$A$3:$A$1000=$B$3,ROW(AccesosRemotos!$A$3:$A$1000)),15))),"")</f>
        <v>RustDesk</v>
      </c>
      <c r="B31" s="5" t="str">
        <f aca="false">IFERROR(IF(INDEX(AccesosRemotos!E:E,SMALL(IF(AccesosRemotos!$A$3:$A$1000=$B$3,ROW(AccesosRemotos!$A$3:$A$1000)),15))="","",INDEX(AccesosRemotos!E:E,SMALL(IF(AccesosRemotos!$A$3:$A$1000=$B$3,ROW(AccesosRemotos!$A$3:$A$1000)),15))),"")</f>
        <v>LAPTOP - CAJA MOVIL</v>
      </c>
      <c r="C31" s="5" t="str">
        <f aca="false">IFERROR(IF(INDEX(AccesosRemotos!F:F,SMALL(IF(AccesosRemotos!$A$3:$A$1000=$B$3,ROW(AccesosRemotos!$A$3:$A$1000)),15))="","",INDEX(AccesosRemotos!F:F,SMALL(IF(AccesosRemotos!$A$3:$A$1000=$B$3,ROW(AccesosRemotos!$A$3:$A$1000)),15))),"")</f>
        <v>54 631 371</v>
      </c>
      <c r="D31" s="5" t="str">
        <f aca="false">IFERROR(IF(INDEX(AccesosRemotos!G:G,SMALL(IF(AccesosRemotos!$A$3:$A$1000=$B$3,ROW(AccesosRemotos!$A$3:$A$1000)),15))="","",INDEX(AccesosRemotos!G:G,SMALL(IF(AccesosRemotos!$A$3:$A$1000=$B$3,ROW(AccesosRemotos!$A$3:$A$1000)),15))),"")</f>
        <v/>
      </c>
      <c r="E31" s="5" t="str">
        <f aca="false">IFERROR(IF(INDEX(AccesosRemotos!H:H,SMALL(IF(AccesosRemotos!$A$3:$A$1000=$B$3,ROW(AccesosRemotos!$A$3:$A$1000)),15))="","",INDEX(AccesosRemotos!H:H,SMALL(IF(AccesosRemotos!$A$3:$A$1000=$B$3,ROW(AccesosRemotos!$A$3:$A$1000)),15))),"")</f>
        <v>MySQL: Gabriela@2018</v>
      </c>
    </row>
    <row r="33" customFormat="false" ht="15" hidden="false" customHeight="true" outlineLevel="0" collapsed="false">
      <c r="A33" s="6" t="s">
        <v>675</v>
      </c>
      <c r="B33" s="6"/>
      <c r="C33" s="6"/>
      <c r="D33" s="6"/>
      <c r="E33" s="6"/>
    </row>
    <row r="34" customFormat="false" ht="15" hidden="false" customHeight="false" outlineLevel="0" collapsed="false">
      <c r="A34" s="4" t="s">
        <v>500</v>
      </c>
      <c r="B34" s="4" t="s">
        <v>502</v>
      </c>
      <c r="C34" s="4" t="s">
        <v>503</v>
      </c>
      <c r="D34" s="4"/>
      <c r="E34" s="4"/>
    </row>
    <row r="35" customFormat="false" ht="15" hidden="false" customHeight="false" outlineLevel="0" collapsed="false">
      <c r="A35" s="5" t="str">
        <f aca="false">IFERROR(IF(INDEX(APIs_Timbrado!C:C,SMALL(IF(APIs_Timbrado!$A$3:$A$300=$B$3,ROW(APIs_Timbrado!$A$3:$A$300)),1))="","",INDEX(APIs_Timbrado!C:C,SMALL(IF(APIs_Timbrado!$A$3:$A$300=$B$3,ROW(APIs_Timbrado!$A$3:$A$300)),1))),"")</f>
        <v/>
      </c>
      <c r="B35" s="5" t="str">
        <f aca="false">IFERROR(IF(INDEX(APIs_Timbrado!E:E,SMALL(IF(APIs_Timbrado!$A$3:$A$300=$B$3,ROW(APIs_Timbrado!$A$3:$A$300)),1))="","",INDEX(APIs_Timbrado!E:E,SMALL(IF(APIs_Timbrado!$A$3:$A$300=$B$3,ROW(APIs_Timbrado!$A$3:$A$300)),1))),"")</f>
        <v/>
      </c>
      <c r="C35" s="5" t="str">
        <f aca="false">IFERROR(IF(INDEX(APIs_Timbrado!F:F,SMALL(IF(APIs_Timbrado!$A$3:$A$300=$B$3,ROW(APIs_Timbrado!$A$3:$A$300)),1))="","",INDEX(APIs_Timbrado!F:F,SMALL(IF(APIs_Timbrado!$A$3:$A$300=$B$3,ROW(APIs_Timbrado!$A$3:$A$300)),1))),"")</f>
        <v/>
      </c>
    </row>
    <row r="36" customFormat="false" ht="15" hidden="false" customHeight="false" outlineLevel="0" collapsed="false">
      <c r="A36" s="5" t="str">
        <f aca="false">IFERROR(IF(INDEX(APIs_Timbrado!C:C,SMALL(IF(APIs_Timbrado!$A$3:$A$300=$B$3,ROW(APIs_Timbrado!$A$3:$A$300)),2))="","",INDEX(APIs_Timbrado!C:C,SMALL(IF(APIs_Timbrado!$A$3:$A$300=$B$3,ROW(APIs_Timbrado!$A$3:$A$300)),2))),"")</f>
        <v/>
      </c>
      <c r="B36" s="5" t="str">
        <f aca="false">IFERROR(IF(INDEX(APIs_Timbrado!E:E,SMALL(IF(APIs_Timbrado!$A$3:$A$300=$B$3,ROW(APIs_Timbrado!$A$3:$A$300)),2))="","",INDEX(APIs_Timbrado!E:E,SMALL(IF(APIs_Timbrado!$A$3:$A$300=$B$3,ROW(APIs_Timbrado!$A$3:$A$300)),2))),"")</f>
        <v/>
      </c>
      <c r="C36" s="5" t="str">
        <f aca="false">IFERROR(IF(INDEX(APIs_Timbrado!F:F,SMALL(IF(APIs_Timbrado!$A$3:$A$300=$B$3,ROW(APIs_Timbrado!$A$3:$A$300)),2))="","",INDEX(APIs_Timbrado!F:F,SMALL(IF(APIs_Timbrado!$A$3:$A$300=$B$3,ROW(APIs_Timbrado!$A$3:$A$300)),2))),"")</f>
        <v/>
      </c>
    </row>
    <row r="37" customFormat="false" ht="15" hidden="false" customHeight="false" outlineLevel="0" collapsed="false">
      <c r="A37" s="5" t="str">
        <f aca="false">IFERROR(IF(INDEX(APIs_Timbrado!C:C,SMALL(IF(APIs_Timbrado!$A$3:$A$300=$B$3,ROW(APIs_Timbrado!$A$3:$A$300)),3))="","",INDEX(APIs_Timbrado!C:C,SMALL(IF(APIs_Timbrado!$A$3:$A$300=$B$3,ROW(APIs_Timbrado!$A$3:$A$300)),3))),"")</f>
        <v/>
      </c>
      <c r="B37" s="5" t="str">
        <f aca="false">IFERROR(IF(INDEX(APIs_Timbrado!E:E,SMALL(IF(APIs_Timbrado!$A$3:$A$300=$B$3,ROW(APIs_Timbrado!$A$3:$A$300)),3))="","",INDEX(APIs_Timbrado!E:E,SMALL(IF(APIs_Timbrado!$A$3:$A$300=$B$3,ROW(APIs_Timbrado!$A$3:$A$300)),3))),"")</f>
        <v/>
      </c>
      <c r="C37" s="5" t="str">
        <f aca="false">IFERROR(IF(INDEX(APIs_Timbrado!F:F,SMALL(IF(APIs_Timbrado!$A$3:$A$300=$B$3,ROW(APIs_Timbrado!$A$3:$A$300)),3))="","",INDEX(APIs_Timbrado!F:F,SMALL(IF(APIs_Timbrado!$A$3:$A$300=$B$3,ROW(APIs_Timbrado!$A$3:$A$300)),3))),"")</f>
        <v/>
      </c>
    </row>
    <row r="39" customFormat="false" ht="15" hidden="false" customHeight="true" outlineLevel="0" collapsed="false">
      <c r="A39" s="6" t="s">
        <v>676</v>
      </c>
      <c r="B39" s="6"/>
      <c r="C39" s="6"/>
      <c r="D39" s="6"/>
      <c r="E39" s="6"/>
    </row>
    <row r="40" customFormat="false" ht="15" hidden="false" customHeight="false" outlineLevel="0" collapsed="false">
      <c r="A40" s="4" t="s">
        <v>670</v>
      </c>
      <c r="B40" s="4" t="s">
        <v>15</v>
      </c>
      <c r="C40" s="4" t="s">
        <v>503</v>
      </c>
      <c r="D40" s="4" t="s">
        <v>18</v>
      </c>
      <c r="E40" s="4"/>
    </row>
    <row r="41" customFormat="false" ht="15" hidden="false" customHeight="false" outlineLevel="0" collapsed="false">
      <c r="A41" s="5" t="str">
        <f aca="false">IFERROR(IF(INDEX(APIs_FacturaLO!C:C,SMALL(IF(APIs_FacturaLO!$A$13:$A$200=$B$3,ROW(APIs_FacturaLO!$A$13:$A$200)),1))="","",INDEX(APIs_FacturaLO!C:C,SMALL(IF(APIs_FacturaLO!$A$13:$A$200=$B$3,ROW(APIs_FacturaLO!$A$13:$A$200)),1))),"")</f>
        <v/>
      </c>
      <c r="B41" s="5" t="str">
        <f aca="false">IFERROR(IF(INDEX(APIs_FacturaLO!D:D,SMALL(IF(APIs_FacturaLO!$A$13:$A$200=$B$3,ROW(APIs_FacturaLO!$A$13:$A$200)),1))="","",INDEX(APIs_FacturaLO!D:D,SMALL(IF(APIs_FacturaLO!$A$13:$A$200=$B$3,ROW(APIs_FacturaLO!$A$13:$A$200)),1))),"")</f>
        <v/>
      </c>
      <c r="C41" s="5" t="str">
        <f aca="false">IFERROR(IF(INDEX(APIs_FacturaLO!E:E,SMALL(IF(APIs_FacturaLO!$A$13:$A$200=$B$3,ROW(APIs_FacturaLO!$A$13:$A$200)),1))="","",INDEX(APIs_FacturaLO!E:E,SMALL(IF(APIs_FacturaLO!$A$13:$A$200=$B$3,ROW(APIs_FacturaLO!$A$13:$A$200)),1))),"")</f>
        <v/>
      </c>
      <c r="D41" s="5" t="str">
        <f aca="false">IFERROR(IF(INDEX(APIs_FacturaLO!H:H,SMALL(IF(APIs_FacturaLO!$A$13:$A$200=$B$3,ROW(APIs_FacturaLO!$A$13:$A$200)),1))="","",INDEX(APIs_FacturaLO!H:H,SMALL(IF(APIs_FacturaLO!$A$13:$A$200=$B$3,ROW(APIs_FacturaLO!$A$13:$A$200)),1))),"")</f>
        <v/>
      </c>
    </row>
    <row r="42" customFormat="false" ht="15" hidden="false" customHeight="false" outlineLevel="0" collapsed="false">
      <c r="A42" s="5" t="str">
        <f aca="false">IFERROR(IF(INDEX(APIs_FacturaLO!C:C,SMALL(IF(APIs_FacturaLO!$A$13:$A$200=$B$3,ROW(APIs_FacturaLO!$A$13:$A$200)),2))="","",INDEX(APIs_FacturaLO!C:C,SMALL(IF(APIs_FacturaLO!$A$13:$A$200=$B$3,ROW(APIs_FacturaLO!$A$13:$A$200)),2))),"")</f>
        <v/>
      </c>
      <c r="B42" s="5" t="str">
        <f aca="false">IFERROR(IF(INDEX(APIs_FacturaLO!D:D,SMALL(IF(APIs_FacturaLO!$A$13:$A$200=$B$3,ROW(APIs_FacturaLO!$A$13:$A$200)),2))="","",INDEX(APIs_FacturaLO!D:D,SMALL(IF(APIs_FacturaLO!$A$13:$A$200=$B$3,ROW(APIs_FacturaLO!$A$13:$A$200)),2))),"")</f>
        <v/>
      </c>
      <c r="C42" s="5" t="str">
        <f aca="false">IFERROR(IF(INDEX(APIs_FacturaLO!E:E,SMALL(IF(APIs_FacturaLO!$A$13:$A$200=$B$3,ROW(APIs_FacturaLO!$A$13:$A$200)),2))="","",INDEX(APIs_FacturaLO!E:E,SMALL(IF(APIs_FacturaLO!$A$13:$A$200=$B$3,ROW(APIs_FacturaLO!$A$13:$A$200)),2))),"")</f>
        <v/>
      </c>
      <c r="D42" s="5" t="str">
        <f aca="false">IFERROR(IF(INDEX(APIs_FacturaLO!H:H,SMALL(IF(APIs_FacturaLO!$A$13:$A$200=$B$3,ROW(APIs_FacturaLO!$A$13:$A$200)),2))="","",INDEX(APIs_FacturaLO!H:H,SMALL(IF(APIs_FacturaLO!$A$13:$A$200=$B$3,ROW(APIs_FacturaLO!$A$13:$A$200)),2))),"")</f>
        <v/>
      </c>
    </row>
  </sheetData>
  <mergeCells count="13">
    <mergeCell ref="A1:E1"/>
    <mergeCell ref="A5:E5"/>
    <mergeCell ref="B6:E6"/>
    <mergeCell ref="B7:E7"/>
    <mergeCell ref="B8:E8"/>
    <mergeCell ref="B9:E9"/>
    <mergeCell ref="B10:E10"/>
    <mergeCell ref="B11:E11"/>
    <mergeCell ref="B12:E12"/>
    <mergeCell ref="B13:E13"/>
    <mergeCell ref="A15:E15"/>
    <mergeCell ref="A33:E33"/>
    <mergeCell ref="A39:E39"/>
  </mergeCells>
  <dataValidations count="1">
    <dataValidation allowBlank="true" errorStyle="stop" operator="between" showDropDown="false" showErrorMessage="false" showInputMessage="false" sqref="B3" type="list">
      <formula1>Clientes!$A$3:$A$202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2026-05-03T19:19:23Z</dcterms:created>
  <dc:creator>openpyxl</dc:creator>
  <dc:description/>
  <dc:language>en-US</dc:language>
  <cp:lastModifiedBy/>
  <dcterms:modified xsi:type="dcterms:W3CDTF">2026-05-03T19:19:23Z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